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ia\Documents\"/>
    </mc:Choice>
  </mc:AlternateContent>
  <xr:revisionPtr revIDLastSave="0" documentId="13_ncr:1_{A850A05B-1ABF-440C-90DA-6765EF1C9CBF}" xr6:coauthVersionLast="47" xr6:coauthVersionMax="47" xr10:uidLastSave="{00000000-0000-0000-0000-000000000000}"/>
  <bookViews>
    <workbookView xWindow="-120" yWindow="-120" windowWidth="20730" windowHeight="11040" tabRatio="599" activeTab="5" xr2:uid="{F146D06F-07CA-45E3-BEC9-ACC8BFE65323}"/>
  </bookViews>
  <sheets>
    <sheet name="Raw_Data" sheetId="2" r:id="rId1"/>
    <sheet name="Clean_Data" sheetId="3" r:id="rId2"/>
    <sheet name="KPIs" sheetId="4" r:id="rId3"/>
    <sheet name="Pivot_Analysis" sheetId="6" r:id="rId4"/>
    <sheet name="Chart" sheetId="7" r:id="rId5"/>
    <sheet name="Deeper_analysis" sheetId="8" r:id="rId6"/>
    <sheet name="Dashboard" sheetId="9" r:id="rId7"/>
  </sheets>
  <definedNames>
    <definedName name="ExternalData_1" localSheetId="1" hidden="1">Clean_Data!$A$1:$W$101</definedName>
    <definedName name="ExternalData_1" localSheetId="0" hidden="1">Raw_Data!$A$1:$W$101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9" l="1"/>
  <c r="D11" i="8"/>
  <c r="C10" i="4"/>
  <c r="D10" i="8"/>
  <c r="D9" i="8"/>
  <c r="D8" i="8"/>
  <c r="H4" i="8"/>
  <c r="H3" i="8"/>
  <c r="H2" i="8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Y36" i="3" s="1"/>
  <c r="X37" i="3"/>
  <c r="Y37" i="3" s="1"/>
  <c r="X38" i="3"/>
  <c r="Y38" i="3" s="1"/>
  <c r="X39" i="3"/>
  <c r="Y39" i="3" s="1"/>
  <c r="X40" i="3"/>
  <c r="Y40" i="3" s="1"/>
  <c r="X41" i="3"/>
  <c r="Y41" i="3" s="1"/>
  <c r="X42" i="3"/>
  <c r="Y42" i="3" s="1"/>
  <c r="X43" i="3"/>
  <c r="Y43" i="3" s="1"/>
  <c r="X44" i="3"/>
  <c r="Y44" i="3" s="1"/>
  <c r="X45" i="3"/>
  <c r="Y45" i="3" s="1"/>
  <c r="X46" i="3"/>
  <c r="Y46" i="3" s="1"/>
  <c r="X47" i="3"/>
  <c r="Y47" i="3" s="1"/>
  <c r="X48" i="3"/>
  <c r="Y48" i="3" s="1"/>
  <c r="X49" i="3"/>
  <c r="Y49" i="3" s="1"/>
  <c r="X50" i="3"/>
  <c r="Y50" i="3" s="1"/>
  <c r="X51" i="3"/>
  <c r="Y51" i="3" s="1"/>
  <c r="X52" i="3"/>
  <c r="Y52" i="3" s="1"/>
  <c r="X53" i="3"/>
  <c r="Y53" i="3" s="1"/>
  <c r="X54" i="3"/>
  <c r="Y54" i="3" s="1"/>
  <c r="X55" i="3"/>
  <c r="Y55" i="3" s="1"/>
  <c r="X56" i="3"/>
  <c r="Y56" i="3" s="1"/>
  <c r="X57" i="3"/>
  <c r="Y57" i="3" s="1"/>
  <c r="X58" i="3"/>
  <c r="Y58" i="3" s="1"/>
  <c r="X59" i="3"/>
  <c r="Y59" i="3" s="1"/>
  <c r="X60" i="3"/>
  <c r="Y60" i="3" s="1"/>
  <c r="X61" i="3"/>
  <c r="Y61" i="3" s="1"/>
  <c r="X62" i="3"/>
  <c r="Y62" i="3" s="1"/>
  <c r="X63" i="3"/>
  <c r="Y63" i="3" s="1"/>
  <c r="X64" i="3"/>
  <c r="Y64" i="3" s="1"/>
  <c r="X65" i="3"/>
  <c r="Y65" i="3" s="1"/>
  <c r="X66" i="3"/>
  <c r="Y66" i="3" s="1"/>
  <c r="X67" i="3"/>
  <c r="Y67" i="3" s="1"/>
  <c r="X68" i="3"/>
  <c r="Y68" i="3" s="1"/>
  <c r="X69" i="3"/>
  <c r="Y69" i="3" s="1"/>
  <c r="X70" i="3"/>
  <c r="Y70" i="3" s="1"/>
  <c r="X71" i="3"/>
  <c r="Y71" i="3" s="1"/>
  <c r="X72" i="3"/>
  <c r="Y72" i="3" s="1"/>
  <c r="X73" i="3"/>
  <c r="Y73" i="3" s="1"/>
  <c r="X74" i="3"/>
  <c r="Y74" i="3" s="1"/>
  <c r="X75" i="3"/>
  <c r="Y75" i="3" s="1"/>
  <c r="X76" i="3"/>
  <c r="Y76" i="3" s="1"/>
  <c r="X77" i="3"/>
  <c r="Y77" i="3" s="1"/>
  <c r="X78" i="3"/>
  <c r="Y78" i="3" s="1"/>
  <c r="X79" i="3"/>
  <c r="Y79" i="3" s="1"/>
  <c r="X80" i="3"/>
  <c r="Y80" i="3" s="1"/>
  <c r="X81" i="3"/>
  <c r="Y81" i="3" s="1"/>
  <c r="X82" i="3"/>
  <c r="Y82" i="3" s="1"/>
  <c r="X83" i="3"/>
  <c r="Y83" i="3" s="1"/>
  <c r="X84" i="3"/>
  <c r="Y84" i="3" s="1"/>
  <c r="X85" i="3"/>
  <c r="Y85" i="3" s="1"/>
  <c r="X86" i="3"/>
  <c r="Y86" i="3" s="1"/>
  <c r="X87" i="3"/>
  <c r="Y87" i="3" s="1"/>
  <c r="X88" i="3"/>
  <c r="Y88" i="3" s="1"/>
  <c r="X89" i="3"/>
  <c r="Y89" i="3" s="1"/>
  <c r="X90" i="3"/>
  <c r="Y90" i="3" s="1"/>
  <c r="X91" i="3"/>
  <c r="Y91" i="3" s="1"/>
  <c r="X92" i="3"/>
  <c r="Y92" i="3" s="1"/>
  <c r="X93" i="3"/>
  <c r="Y93" i="3" s="1"/>
  <c r="X94" i="3"/>
  <c r="Y94" i="3" s="1"/>
  <c r="X95" i="3"/>
  <c r="Y95" i="3" s="1"/>
  <c r="X96" i="3"/>
  <c r="Y96" i="3" s="1"/>
  <c r="X97" i="3"/>
  <c r="Y97" i="3" s="1"/>
  <c r="X98" i="3"/>
  <c r="Y98" i="3" s="1"/>
  <c r="X99" i="3"/>
  <c r="Y99" i="3" s="1"/>
  <c r="X100" i="3"/>
  <c r="Y100" i="3" s="1"/>
  <c r="X101" i="3"/>
  <c r="Y101" i="3" s="1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C24" i="4"/>
  <c r="C29" i="4"/>
  <c r="C30" i="4"/>
  <c r="C21" i="4"/>
  <c r="C28" i="4"/>
  <c r="C26" i="4"/>
  <c r="C25" i="4"/>
  <c r="C22" i="4"/>
  <c r="C20" i="4"/>
  <c r="C13" i="4"/>
  <c r="C12" i="4"/>
  <c r="C2" i="4"/>
  <c r="A6" i="9" s="1"/>
  <c r="C9" i="4"/>
  <c r="C8" i="4"/>
  <c r="C7" i="4"/>
  <c r="C4" i="4"/>
  <c r="C3" i="4"/>
  <c r="D6" i="9" s="1"/>
  <c r="C32" i="4" l="1"/>
  <c r="C15" i="4"/>
  <c r="C14" i="4"/>
  <c r="C5" i="4"/>
  <c r="C31" i="4"/>
  <c r="C17" i="4" l="1"/>
  <c r="C16" i="4"/>
  <c r="C18" i="4"/>
  <c r="J6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86553F-3BDB-4877-9944-E09827F9EEFD}" keepAlive="1" name="Query - supply_chain_data" description="Connection to the 'supply_chain_data' query in the workbook." type="5" refreshedVersion="8" background="1" saveData="1">
    <dbPr connection="Provider=Microsoft.Mashup.OleDb.1;Data Source=$Workbook$;Location=supply_chain_data;Extended Properties=&quot;&quot;" command="SELECT * FROM [supply_chain_data]"/>
  </connection>
  <connection id="2" xr16:uid="{93F18589-86C7-4DD6-9F84-362EF4B6288B}" keepAlive="1" name="Query - supply_chain_data (2)" description="Connection to the 'supply_chain_data (2)' query in the workbook." type="5" refreshedVersion="8" background="1" saveData="1">
    <dbPr connection="Provider=Microsoft.Mashup.OleDb.1;Data Source=$Workbook$;Location=&quot;supply_chain_data (2)&quot;;Extended Properties=&quot;&quot;" command="SELECT * FROM [supply_chain_data (2)]"/>
  </connection>
  <connection id="3" xr16:uid="{E844939E-D8D8-4ED0-B0C8-872050A40D7C}" keepAlive="1" name="Query - supply_chain_data (3)" description="Connection to the 'supply_chain_data (3)' query in the workbook." type="5" refreshedVersion="8" background="1" saveData="1">
    <dbPr connection="Provider=Microsoft.Mashup.OleDb.1;Data Source=$Workbook$;Location=&quot;supply_chain_data (3)&quot;;Extended Properties=&quot;&quot;" command="SELECT * FROM [supply_chain_data (3)]"/>
  </connection>
</connections>
</file>

<file path=xl/sharedStrings.xml><?xml version="1.0" encoding="utf-8"?>
<sst xmlns="http://schemas.openxmlformats.org/spreadsheetml/2006/main" count="2020" uniqueCount="227">
  <si>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</si>
  <si>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</si>
  <si>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</si>
  <si>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</si>
  <si>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</si>
  <si>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</si>
  <si>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</si>
  <si>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</si>
  <si>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Order quantities</t>
  </si>
  <si>
    <t>Shipping times</t>
  </si>
  <si>
    <t>Shipping carriers</t>
  </si>
  <si>
    <t>Shipping costs</t>
  </si>
  <si>
    <t>Supplier name</t>
  </si>
  <si>
    <t>Location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</si>
  <si>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</si>
  <si>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</si>
  <si>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</si>
  <si>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</si>
  <si>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</si>
  <si>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</si>
  <si>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</si>
  <si>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</si>
  <si>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</si>
  <si>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</si>
  <si>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</si>
  <si>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</si>
  <si>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</si>
  <si>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</si>
  <si>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</si>
  <si>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</si>
  <si>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</si>
  <si>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</si>
  <si>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</si>
  <si>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</si>
  <si>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</si>
  <si>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</si>
  <si>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</si>
  <si>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</si>
  <si>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</si>
  <si>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</si>
  <si>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</si>
  <si>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</si>
  <si>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</si>
  <si>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</si>
  <si>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</si>
  <si>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</si>
  <si>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</si>
  <si>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</si>
  <si>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</si>
  <si>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</si>
  <si>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</si>
  <si>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</si>
  <si>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</si>
  <si>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</si>
  <si>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</si>
  <si>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</si>
  <si>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</si>
  <si>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</si>
  <si>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</si>
  <si>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</si>
  <si>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</si>
  <si>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</si>
  <si>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</si>
  <si>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</si>
  <si>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</si>
  <si>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</si>
  <si>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</si>
  <si>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</si>
  <si>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</si>
  <si>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</si>
  <si>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</si>
  <si>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</si>
  <si>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</si>
  <si>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</si>
  <si>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</si>
  <si>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</si>
  <si>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</si>
  <si>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</si>
  <si>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</si>
  <si>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</si>
  <si>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</si>
  <si>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</si>
  <si>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</si>
  <si>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</si>
  <si>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</si>
  <si>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</si>
  <si>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</si>
  <si>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</si>
  <si>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</si>
  <si>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</si>
  <si>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</si>
  <si>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</si>
  <si>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</si>
  <si>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</si>
  <si>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</si>
  <si>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</si>
  <si>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</si>
  <si>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</si>
  <si>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</si>
  <si>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</si>
  <si>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</si>
  <si>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</si>
  <si>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</si>
  <si>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</si>
  <si>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</si>
  <si>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</si>
  <si>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</si>
  <si>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</si>
  <si>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</si>
  <si>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</si>
  <si>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</si>
  <si>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</si>
  <si>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</si>
  <si>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</si>
  <si>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</si>
  <si>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</si>
  <si>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</si>
  <si>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</si>
  <si>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</si>
  <si>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</si>
  <si>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</si>
  <si>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</si>
  <si>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</si>
  <si>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</si>
  <si>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</si>
  <si>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</si>
  <si>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</si>
  <si>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</si>
  <si>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</si>
  <si>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</si>
  <si>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</si>
  <si>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</si>
  <si>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</si>
  <si>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</si>
  <si>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</si>
  <si>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</si>
  <si>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</si>
  <si>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</si>
  <si>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</si>
  <si>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</si>
  <si>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</si>
  <si>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</si>
  <si>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</si>
  <si>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</si>
  <si>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</si>
  <si>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</si>
  <si>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</si>
  <si>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</si>
  <si>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</si>
  <si>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</si>
  <si>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</si>
  <si>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</si>
  <si>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Estimated Profit</t>
  </si>
  <si>
    <t>Inventory Efficiency</t>
  </si>
  <si>
    <t>Total Costs</t>
  </si>
  <si>
    <t>Total Lead Time</t>
  </si>
  <si>
    <t>Revenue Per Unit</t>
  </si>
  <si>
    <t>ShIpping cost per unit</t>
  </si>
  <si>
    <t>KPI</t>
  </si>
  <si>
    <t>VALUE</t>
  </si>
  <si>
    <t>Total Revenue</t>
  </si>
  <si>
    <t>Total Units Sold</t>
  </si>
  <si>
    <t>Average Price</t>
  </si>
  <si>
    <t xml:space="preserve">Average Revenue Per Unit </t>
  </si>
  <si>
    <t>Average Stock Level</t>
  </si>
  <si>
    <t>Total Stock</t>
  </si>
  <si>
    <t>Average Availability</t>
  </si>
  <si>
    <t>Average Inventory Efficiency</t>
  </si>
  <si>
    <t>Total Manufacturing Cost</t>
  </si>
  <si>
    <t>Total Shipping Cost</t>
  </si>
  <si>
    <t>Total Transportation Cost</t>
  </si>
  <si>
    <t>Estimated Total Cost</t>
  </si>
  <si>
    <t>Estimated Total Profit</t>
  </si>
  <si>
    <t>Average Profit</t>
  </si>
  <si>
    <t>Category</t>
  </si>
  <si>
    <t>Number of Suppliers</t>
  </si>
  <si>
    <t>Average Supplier Lead Time</t>
  </si>
  <si>
    <t>Average Manufacturing Cost</t>
  </si>
  <si>
    <t>Sales</t>
  </si>
  <si>
    <t>Inventory</t>
  </si>
  <si>
    <t>Profitability</t>
  </si>
  <si>
    <t>Supplier</t>
  </si>
  <si>
    <t>Quality</t>
  </si>
  <si>
    <t>Logistics</t>
  </si>
  <si>
    <t>Average Defect Rate</t>
  </si>
  <si>
    <t>Failed Inspections</t>
  </si>
  <si>
    <t>Inspection Pass Rate</t>
  </si>
  <si>
    <t>Average Shipping Time</t>
  </si>
  <si>
    <t>Average Shipping Cost</t>
  </si>
  <si>
    <t>Average Shipping Cost per Unit</t>
  </si>
  <si>
    <t>Row Labels</t>
  </si>
  <si>
    <t>Grand Total</t>
  </si>
  <si>
    <t>Avg Manufacturing Costs</t>
  </si>
  <si>
    <t>Total Production Volumes</t>
  </si>
  <si>
    <t>REVENUE BY PRODUCT TYPE</t>
  </si>
  <si>
    <t>SUPPLIER PERFORMANCE</t>
  </si>
  <si>
    <t>TRANSPORTATION ANALYSIS</t>
  </si>
  <si>
    <t>Avg Shipping Times</t>
  </si>
  <si>
    <t>Avg Shipping Costs</t>
  </si>
  <si>
    <t>Total Shipping Costs</t>
  </si>
  <si>
    <t>ROUTE ANALYSIS</t>
  </si>
  <si>
    <t>QUALITY ANALYSIS</t>
  </si>
  <si>
    <t>Total Estimated Profit</t>
  </si>
  <si>
    <t>Supplier Name</t>
  </si>
  <si>
    <t>SUPPLY CHAIN PERFORMANCE DASHBOARD</t>
  </si>
  <si>
    <t>TOTAL REVENUE</t>
  </si>
  <si>
    <t>TOTAL UNITS SOLD</t>
  </si>
  <si>
    <t>ESTIMATED PROFIT</t>
  </si>
  <si>
    <t>PROFIT MARGIN</t>
  </si>
  <si>
    <t>Supplier Lead time</t>
  </si>
  <si>
    <t>Average Lead Time</t>
  </si>
  <si>
    <t xml:space="preserve">CORRELATION </t>
  </si>
  <si>
    <t>There is little or no linear relationship between price and units sold</t>
  </si>
  <si>
    <t>There is a negative correlation between shipping times and shipping costs</t>
  </si>
  <si>
    <t>There is little to no correlation between manufacturing lead time and defect rates</t>
  </si>
  <si>
    <t>Shipping Lead time</t>
  </si>
  <si>
    <t>Avg Supplier Lead time</t>
  </si>
  <si>
    <t>Avg Defect Rate (%)</t>
  </si>
  <si>
    <t>Price vs Number of products sold</t>
  </si>
  <si>
    <t>Shipping times vs shipping costs</t>
  </si>
  <si>
    <t>Manufacturing lead times vs Defect rates</t>
  </si>
  <si>
    <t>Avg Defect Rates (%)</t>
  </si>
  <si>
    <t>Total Revenue generated</t>
  </si>
  <si>
    <t>No. of products sold</t>
  </si>
  <si>
    <t>Total Stock levels</t>
  </si>
  <si>
    <t>Profit Margin</t>
  </si>
  <si>
    <t>Avg Defect rates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</si>
</sst>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3" fillId="3" borderId="2" xfId="0" applyFont="1" applyFill="1" applyBorder="1"/>
    <xf numFmtId="0" fontId="0" fillId="4" borderId="2" xfId="0" applyFill="1" applyBorder="1"/>
    <xf numFmtId="0" fontId="0" fillId="0" borderId="2" xfId="0" applyBorder="1"/>
    <xf numFmtId="0" fontId="0" fillId="0" borderId="0" xfId="1" applyNumberFormat="1" applyFont="1"/>
    <xf numFmtId="2" fontId="0" fillId="0" borderId="0" xfId="0" applyNumberFormat="1"/>
    <xf numFmtId="0" fontId="8" fillId="0" borderId="0" xfId="0" applyFont="1" applyAlignment="1">
      <alignment vertical="center"/>
    </xf>
    <xf numFmtId="0" fontId="0" fillId="0" borderId="0" xfId="0" applyAlignment="1">
      <alignment wrapText="1"/>
    </xf>
    <xf numFmtId="2" fontId="1" fillId="7" borderId="0" xfId="0" applyNumberFormat="1" applyFont="1" applyFill="1"/>
    <xf numFmtId="0" fontId="10" fillId="7" borderId="0" xfId="0" applyFont="1" applyFill="1"/>
    <xf numFmtId="2" fontId="0" fillId="0" borderId="0" xfId="1" applyNumberFormat="1" applyFont="1"/>
    <xf numFmtId="0" fontId="1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44" fontId="7" fillId="6" borderId="0" xfId="2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/>
    <xf numFmtId="164" fontId="7" fillId="6" borderId="0" xfId="0" applyNumberFormat="1" applyFont="1" applyFill="1" applyAlignment="1">
      <alignment horizontal="center"/>
    </xf>
    <xf numFmtId="10" fontId="7" fillId="6" borderId="0" xfId="0" applyNumberFormat="1" applyFont="1" applyFill="1" applyAlignment="1">
      <alignment horizontal="center"/>
    </xf>
    <xf numFmtId="0" fontId="10" fillId="8" borderId="0" xfId="0" applyFont="1" applyFill="1"/>
    <xf numFmtId="2" fontId="1" fillId="8" borderId="0" xfId="0" applyNumberFormat="1" applyFont="1" applyFill="1"/>
  </cellXfs>
  <cellStyles count="3">
    <cellStyle name="Currency" xfId="2" builtinId="4"/>
    <cellStyle name="Normal" xfId="0" builtinId="0"/>
    <cellStyle name="Percent" xfId="1" builtinId="5"/>
  </cellStyles>
  <dxfs count="82">
    <dxf>
      <numFmt numFmtId="164" formatCode="&quot;$&quot;#,##0.00"/>
    </dxf>
    <dxf>
      <numFmt numFmtId="164" formatCode="&quot;$&quot;#,##0.00"/>
    </dxf>
    <dxf>
      <numFmt numFmtId="2" formatCode="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2" formatCode="0.00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Product Type</a:t>
            </a:r>
          </a:p>
        </c:rich>
      </c:tx>
      <c:layout>
        <c:manualLayout>
          <c:xMode val="edge"/>
          <c:yMode val="edge"/>
          <c:x val="0.283263779527559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Chart!$A$2:$A$4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Chart!$B$2:$B$4</c:f>
              <c:numCache>
                <c:formatCode>"$"#,##0.00</c:formatCode>
                <c:ptCount val="3"/>
                <c:pt idx="0">
                  <c:v>241628.16213306325</c:v>
                </c:pt>
                <c:pt idx="1">
                  <c:v>174455.39060546231</c:v>
                </c:pt>
                <c:pt idx="2">
                  <c:v>161521.26599948312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C-46D3-899E-2320390D9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2058032"/>
        <c:axId val="434633584"/>
      </c:barChart>
      <c:catAx>
        <c:axId val="67205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33584"/>
        <c:crosses val="autoZero"/>
        <c:auto val="1"/>
        <c:lblAlgn val="ctr"/>
        <c:lblOffset val="100"/>
        <c:noMultiLvlLbl val="0"/>
      </c:catAx>
      <c:valAx>
        <c:axId val="43463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5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project.xlsx]Chart!PivotTable1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vs Estimated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Chart!$B$6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Chart!$A$7:$A$10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Chart!$B$7:$B$10</c:f>
              <c:numCache>
                <c:formatCode>"$"#,##0.00</c:formatCode>
                <c:ptCount val="3"/>
                <c:pt idx="0">
                  <c:v>161521.26599948312</c:v>
                </c:pt>
                <c:pt idx="1">
                  <c:v>174455.39060546231</c:v>
                </c:pt>
                <c:pt idx="2">
                  <c:v>241628.16213306325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CBD-B37C-4C5032B26CF5}"/>
            </c:ext>
          </c:extLst>
        </c:ser>
        <c:ser>
          <c:idx val="1"/>
          <c:order val="1"/>
          <c:tx>
            <c:strRef>
              <c:f>Chart!$C$6</c:f>
              <c:strCache>
                <c:ptCount val="1"/>
                <c:pt idx="0">
                  <c:v>Total Estimated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Chart!$A$7:$A$10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Chart!$C$7:$C$10</c:f>
              <c:numCache>
                <c:formatCode>"$"#,##0.00</c:formatCode>
                <c:ptCount val="3"/>
                <c:pt idx="0">
                  <c:v>132560.49746341666</c:v>
                </c:pt>
                <c:pt idx="1">
                  <c:v>136463.95596427348</c:v>
                </c:pt>
                <c:pt idx="2">
                  <c:v>187024.11777035741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CBD-B37C-4C5032B2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75617456"/>
        <c:axId val="598295888"/>
      </c:barChart>
      <c:catAx>
        <c:axId val="77561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95888"/>
        <c:crosses val="autoZero"/>
        <c:auto val="1"/>
        <c:lblAlgn val="ctr"/>
        <c:lblOffset val="100"/>
        <c:noMultiLvlLbl val="0"/>
      </c:catAx>
      <c:valAx>
        <c:axId val="59829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1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Supplier Defect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Chart!$B$12</c:f>
              <c:strCache>
                <c:ptCount val="1"/>
                <c:pt idx="0">
                  <c:v>Average Defect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Chart!$A$13:$A$17</c:f>
              <c:strCache>
                <c:ptCount val="5"/>
                <c:pt idx="0">
                  <c:v>Supplier 1</c:v>
                </c:pt>
                <c:pt idx="1">
                  <c:v>Supplier 4</c:v>
                </c:pt>
                <c:pt idx="2">
                  <c:v>Supplier 2</c:v>
                </c:pt>
                <c:pt idx="3">
                  <c:v>Supplier 3</c:v>
                </c:pt>
                <c:pt idx="4">
                  <c:v>Supplier 5</c:v>
                </c:pt>
              </c:strCache>
            </c:strRef>
          </c:cat>
          <c:val>
            <c:numRef>
              <c:f>Chart!$B$13:$B$17</c:f>
              <c:numCache>
                <c:formatCode>0.00</c:formatCode>
                <c:ptCount val="5"/>
                <c:pt idx="0">
                  <c:v>1.8036297116882525</c:v>
                </c:pt>
                <c:pt idx="1">
                  <c:v>2.3373974005913398</c:v>
                </c:pt>
                <c:pt idx="2">
                  <c:v>2.3627501450718813</c:v>
                </c:pt>
                <c:pt idx="3">
                  <c:v>2.4657860307644701</c:v>
                </c:pt>
                <c:pt idx="4">
                  <c:v>2.6654083441492014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2-4FBC-8401-74823CA32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62039024"/>
        <c:axId val="496745904"/>
      </c:barChart>
      <c:catAx>
        <c:axId val="86203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45904"/>
        <c:crosses val="autoZero"/>
        <c:auto val="1"/>
        <c:lblAlgn val="ctr"/>
        <c:lblOffset val="100"/>
        <c:noMultiLvlLbl val="0"/>
      </c:catAx>
      <c:valAx>
        <c:axId val="49674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3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Shipping Cost by Transportation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Chart!$B$20</c:f>
              <c:strCache>
                <c:ptCount val="1"/>
                <c:pt idx="0">
                  <c:v>Total Shipping Costs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Chart!$A$21:$A$24</c:f>
              <c:strCache>
                <c:ptCount val="4"/>
                <c:pt idx="0">
                  <c:v>Air</c:v>
                </c:pt>
                <c:pt idx="1">
                  <c:v>Road</c:v>
                </c:pt>
                <c:pt idx="2">
                  <c:v>Rail</c:v>
                </c:pt>
                <c:pt idx="3">
                  <c:v>Sea</c:v>
                </c:pt>
              </c:strCache>
            </c:strRef>
          </c:cat>
          <c:val>
            <c:numRef>
              <c:f>Chart!$B$21:$B$24</c:f>
              <c:numCache>
                <c:formatCode>"$"#,##0.00</c:formatCode>
                <c:ptCount val="4"/>
                <c:pt idx="0">
                  <c:v>19098</c:v>
                </c:pt>
                <c:pt idx="1">
                  <c:v>16985</c:v>
                </c:pt>
                <c:pt idx="2">
                  <c:v>16547</c:v>
                </c:pt>
                <c:pt idx="3">
                  <c:v>11275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D-4ABB-B346-53D72808F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2020464"/>
        <c:axId val="264928496"/>
      </c:barChart>
      <c:catAx>
        <c:axId val="86202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Transportation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28496"/>
        <c:crosses val="autoZero"/>
        <c:auto val="1"/>
        <c:lblAlgn val="ctr"/>
        <c:lblOffset val="100"/>
        <c:noMultiLvlLbl val="0"/>
      </c:catAx>
      <c:valAx>
        <c:axId val="2649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Shipping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2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Shipping Time by Transportation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Chart!$B$26</c:f>
              <c:strCache>
                <c:ptCount val="1"/>
                <c:pt idx="0">
                  <c:v>Avg Shipping Times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Chart!$A$27:$A$30</c:f>
              <c:strCache>
                <c:ptCount val="4"/>
                <c:pt idx="0">
                  <c:v>Sea</c:v>
                </c:pt>
                <c:pt idx="1">
                  <c:v>Rail</c:v>
                </c:pt>
                <c:pt idx="2">
                  <c:v>Air</c:v>
                </c:pt>
                <c:pt idx="3">
                  <c:v>Road</c:v>
                </c:pt>
              </c:strCache>
            </c:strRef>
          </c:cat>
          <c:val>
            <c:numRef>
              <c:f>Chart!$B$27:$B$30</c:f>
              <c:numCache>
                <c:formatCode>0.00</c:formatCode>
                <c:ptCount val="4"/>
                <c:pt idx="0">
                  <c:v>7.117647058823529</c:v>
                </c:pt>
                <c:pt idx="1">
                  <c:v>6.5714285714285712</c:v>
                </c:pt>
                <c:pt idx="2">
                  <c:v>5.115384615384615</c:v>
                </c:pt>
                <c:pt idx="3">
                  <c:v>4.7241379310344831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6-4CDE-A581-1F5BE1C6A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1977312"/>
        <c:axId val="906533552"/>
      </c:barChart>
      <c:catAx>
        <c:axId val="86197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Transportation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533552"/>
        <c:crosses val="autoZero"/>
        <c:auto val="1"/>
        <c:lblAlgn val="ctr"/>
        <c:lblOffset val="100"/>
        <c:noMultiLvlLbl val="0"/>
      </c:catAx>
      <c:valAx>
        <c:axId val="90653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Shipping 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7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Lead Time vs Defect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Chart!$B$32</c:f>
              <c:strCache>
                <c:ptCount val="1"/>
                <c:pt idx="0">
                  <c:v>Defect rates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Chart!$A$33:$A$132</c:f>
              <c:numCache>
                <c:formatCode>General</c:formatCode>
                <c:ptCount val="100"/>
                <c:pt idx="0">
                  <c:v>40</c:v>
                </c:pt>
                <c:pt idx="1">
                  <c:v>62</c:v>
                </c:pt>
                <c:pt idx="2">
                  <c:v>39</c:v>
                </c:pt>
                <c:pt idx="3">
                  <c:v>37</c:v>
                </c:pt>
                <c:pt idx="4">
                  <c:v>14</c:v>
                </c:pt>
                <c:pt idx="5">
                  <c:v>47</c:v>
                </c:pt>
                <c:pt idx="6">
                  <c:v>47</c:v>
                </c:pt>
                <c:pt idx="7">
                  <c:v>19</c:v>
                </c:pt>
                <c:pt idx="8">
                  <c:v>25</c:v>
                </c:pt>
                <c:pt idx="9">
                  <c:v>51</c:v>
                </c:pt>
                <c:pt idx="10">
                  <c:v>20</c:v>
                </c:pt>
                <c:pt idx="11">
                  <c:v>35</c:v>
                </c:pt>
                <c:pt idx="12">
                  <c:v>37</c:v>
                </c:pt>
                <c:pt idx="13">
                  <c:v>27</c:v>
                </c:pt>
                <c:pt idx="14">
                  <c:v>48</c:v>
                </c:pt>
                <c:pt idx="15">
                  <c:v>22</c:v>
                </c:pt>
                <c:pt idx="16">
                  <c:v>27</c:v>
                </c:pt>
                <c:pt idx="17">
                  <c:v>42</c:v>
                </c:pt>
                <c:pt idx="18">
                  <c:v>35</c:v>
                </c:pt>
                <c:pt idx="19">
                  <c:v>30</c:v>
                </c:pt>
                <c:pt idx="20">
                  <c:v>24</c:v>
                </c:pt>
                <c:pt idx="21">
                  <c:v>35</c:v>
                </c:pt>
                <c:pt idx="22">
                  <c:v>39</c:v>
                </c:pt>
                <c:pt idx="23">
                  <c:v>41</c:v>
                </c:pt>
                <c:pt idx="24">
                  <c:v>37</c:v>
                </c:pt>
                <c:pt idx="25">
                  <c:v>37</c:v>
                </c:pt>
                <c:pt idx="26">
                  <c:v>24</c:v>
                </c:pt>
                <c:pt idx="27">
                  <c:v>21</c:v>
                </c:pt>
                <c:pt idx="28">
                  <c:v>26</c:v>
                </c:pt>
                <c:pt idx="29">
                  <c:v>19</c:v>
                </c:pt>
                <c:pt idx="30">
                  <c:v>63</c:v>
                </c:pt>
                <c:pt idx="31">
                  <c:v>29</c:v>
                </c:pt>
                <c:pt idx="32">
                  <c:v>24</c:v>
                </c:pt>
                <c:pt idx="33">
                  <c:v>49</c:v>
                </c:pt>
                <c:pt idx="34">
                  <c:v>43</c:v>
                </c:pt>
                <c:pt idx="35">
                  <c:v>37</c:v>
                </c:pt>
                <c:pt idx="36">
                  <c:v>45</c:v>
                </c:pt>
                <c:pt idx="37">
                  <c:v>32</c:v>
                </c:pt>
                <c:pt idx="38">
                  <c:v>18</c:v>
                </c:pt>
                <c:pt idx="39">
                  <c:v>38</c:v>
                </c:pt>
                <c:pt idx="40">
                  <c:v>29</c:v>
                </c:pt>
                <c:pt idx="41">
                  <c:v>34</c:v>
                </c:pt>
                <c:pt idx="42">
                  <c:v>38</c:v>
                </c:pt>
                <c:pt idx="43">
                  <c:v>61</c:v>
                </c:pt>
                <c:pt idx="44">
                  <c:v>43</c:v>
                </c:pt>
                <c:pt idx="45">
                  <c:v>38</c:v>
                </c:pt>
                <c:pt idx="46">
                  <c:v>60</c:v>
                </c:pt>
                <c:pt idx="47">
                  <c:v>44</c:v>
                </c:pt>
                <c:pt idx="48">
                  <c:v>37</c:v>
                </c:pt>
                <c:pt idx="49">
                  <c:v>58</c:v>
                </c:pt>
                <c:pt idx="50">
                  <c:v>54</c:v>
                </c:pt>
                <c:pt idx="51">
                  <c:v>33</c:v>
                </c:pt>
                <c:pt idx="52">
                  <c:v>39</c:v>
                </c:pt>
                <c:pt idx="53">
                  <c:v>45</c:v>
                </c:pt>
                <c:pt idx="54">
                  <c:v>54</c:v>
                </c:pt>
                <c:pt idx="55">
                  <c:v>21</c:v>
                </c:pt>
                <c:pt idx="56">
                  <c:v>56</c:v>
                </c:pt>
                <c:pt idx="57">
                  <c:v>44</c:v>
                </c:pt>
                <c:pt idx="58">
                  <c:v>19</c:v>
                </c:pt>
                <c:pt idx="59">
                  <c:v>27</c:v>
                </c:pt>
                <c:pt idx="60">
                  <c:v>59</c:v>
                </c:pt>
                <c:pt idx="61">
                  <c:v>42</c:v>
                </c:pt>
                <c:pt idx="62">
                  <c:v>23</c:v>
                </c:pt>
                <c:pt idx="63">
                  <c:v>33</c:v>
                </c:pt>
                <c:pt idx="64">
                  <c:v>39</c:v>
                </c:pt>
                <c:pt idx="65">
                  <c:v>53</c:v>
                </c:pt>
                <c:pt idx="66">
                  <c:v>53</c:v>
                </c:pt>
                <c:pt idx="67">
                  <c:v>29</c:v>
                </c:pt>
                <c:pt idx="68">
                  <c:v>34</c:v>
                </c:pt>
                <c:pt idx="69">
                  <c:v>11</c:v>
                </c:pt>
                <c:pt idx="70">
                  <c:v>32</c:v>
                </c:pt>
                <c:pt idx="71">
                  <c:v>18</c:v>
                </c:pt>
                <c:pt idx="72">
                  <c:v>49</c:v>
                </c:pt>
                <c:pt idx="73">
                  <c:v>34</c:v>
                </c:pt>
                <c:pt idx="74">
                  <c:v>20</c:v>
                </c:pt>
                <c:pt idx="75">
                  <c:v>41</c:v>
                </c:pt>
                <c:pt idx="76">
                  <c:v>35</c:v>
                </c:pt>
                <c:pt idx="77">
                  <c:v>37</c:v>
                </c:pt>
                <c:pt idx="78">
                  <c:v>30</c:v>
                </c:pt>
                <c:pt idx="79">
                  <c:v>38</c:v>
                </c:pt>
                <c:pt idx="80">
                  <c:v>21</c:v>
                </c:pt>
                <c:pt idx="81">
                  <c:v>12</c:v>
                </c:pt>
                <c:pt idx="82">
                  <c:v>46</c:v>
                </c:pt>
                <c:pt idx="83">
                  <c:v>37</c:v>
                </c:pt>
                <c:pt idx="84">
                  <c:v>58</c:v>
                </c:pt>
                <c:pt idx="85">
                  <c:v>22</c:v>
                </c:pt>
                <c:pt idx="86">
                  <c:v>38</c:v>
                </c:pt>
                <c:pt idx="87">
                  <c:v>34</c:v>
                </c:pt>
                <c:pt idx="88">
                  <c:v>36</c:v>
                </c:pt>
                <c:pt idx="89">
                  <c:v>20</c:v>
                </c:pt>
                <c:pt idx="90">
                  <c:v>33</c:v>
                </c:pt>
                <c:pt idx="91">
                  <c:v>57</c:v>
                </c:pt>
                <c:pt idx="92">
                  <c:v>62</c:v>
                </c:pt>
                <c:pt idx="93">
                  <c:v>38</c:v>
                </c:pt>
                <c:pt idx="94">
                  <c:v>49</c:v>
                </c:pt>
                <c:pt idx="95">
                  <c:v>49</c:v>
                </c:pt>
                <c:pt idx="96">
                  <c:v>33</c:v>
                </c:pt>
                <c:pt idx="97">
                  <c:v>41</c:v>
                </c:pt>
                <c:pt idx="98">
                  <c:v>17</c:v>
                </c:pt>
                <c:pt idx="99">
                  <c:v>16</c:v>
                </c:pt>
              </c:numCache>
            </c:numRef>
          </c:xVal>
          <c:yVal>
            <c:numRef>
              <c:f>Chart!$B$33:$B$132</c:f>
              <c:numCache>
                <c:formatCode>General</c:formatCode>
                <c:ptCount val="100"/>
                <c:pt idx="0">
                  <c:v>0.22641036084992516</c:v>
                </c:pt>
                <c:pt idx="1">
                  <c:v>4.8540680263887062</c:v>
                </c:pt>
                <c:pt idx="2">
                  <c:v>4.580592619199229</c:v>
                </c:pt>
                <c:pt idx="3">
                  <c:v>4.7466486206477496</c:v>
                </c:pt>
                <c:pt idx="4">
                  <c:v>3.1455795228330019</c:v>
                </c:pt>
                <c:pt idx="5">
                  <c:v>2.7791935115711617</c:v>
                </c:pt>
                <c:pt idx="6">
                  <c:v>1.0009106193041357</c:v>
                </c:pt>
                <c:pt idx="7">
                  <c:v>0.39817718685065062</c:v>
                </c:pt>
                <c:pt idx="8">
                  <c:v>2.7098626911099615</c:v>
                </c:pt>
                <c:pt idx="9">
                  <c:v>3.8446144787675851</c:v>
                </c:pt>
                <c:pt idx="10">
                  <c:v>1.7273139283559424</c:v>
                </c:pt>
                <c:pt idx="11">
                  <c:v>2.1169821372994391E-2</c:v>
                </c:pt>
                <c:pt idx="12">
                  <c:v>2.1612537475559117</c:v>
                </c:pt>
                <c:pt idx="13">
                  <c:v>1.6310742300715386</c:v>
                </c:pt>
                <c:pt idx="14">
                  <c:v>0.10068285156509371</c:v>
                </c:pt>
                <c:pt idx="15">
                  <c:v>2.2644057611985491</c:v>
                </c:pt>
                <c:pt idx="16">
                  <c:v>1.0125630892580491</c:v>
                </c:pt>
                <c:pt idx="17">
                  <c:v>0.10202075491817619</c:v>
                </c:pt>
                <c:pt idx="18">
                  <c:v>2.2319391107292637</c:v>
                </c:pt>
                <c:pt idx="19">
                  <c:v>3.6464508654170293</c:v>
                </c:pt>
                <c:pt idx="20">
                  <c:v>4.2314165735345393</c:v>
                </c:pt>
                <c:pt idx="21">
                  <c:v>1.8607567631014899E-2</c:v>
                </c:pt>
                <c:pt idx="22">
                  <c:v>2.5912754732111161</c:v>
                </c:pt>
                <c:pt idx="23">
                  <c:v>1.3422915627227339</c:v>
                </c:pt>
                <c:pt idx="24">
                  <c:v>3.691310292628728</c:v>
                </c:pt>
                <c:pt idx="25">
                  <c:v>3.7972312171141831</c:v>
                </c:pt>
                <c:pt idx="26">
                  <c:v>2.1193197367249228</c:v>
                </c:pt>
                <c:pt idx="27">
                  <c:v>2.8646678378833732</c:v>
                </c:pt>
                <c:pt idx="28">
                  <c:v>0.81575707929567198</c:v>
                </c:pt>
                <c:pt idx="29">
                  <c:v>3.8780989365884881</c:v>
                </c:pt>
                <c:pt idx="30">
                  <c:v>0.96539470535239313</c:v>
                </c:pt>
                <c:pt idx="31">
                  <c:v>2.9890000066550746</c:v>
                </c:pt>
                <c:pt idx="32">
                  <c:v>1.9460361193861131</c:v>
                </c:pt>
                <c:pt idx="33">
                  <c:v>3.5410460122509231</c:v>
                </c:pt>
                <c:pt idx="34">
                  <c:v>0.64660455937205485</c:v>
                </c:pt>
                <c:pt idx="35">
                  <c:v>0.54115409806058112</c:v>
                </c:pt>
                <c:pt idx="36">
                  <c:v>3.8055333792433537</c:v>
                </c:pt>
                <c:pt idx="37">
                  <c:v>2.6102880848481131</c:v>
                </c:pt>
                <c:pt idx="38">
                  <c:v>0.61332689916450744</c:v>
                </c:pt>
                <c:pt idx="39">
                  <c:v>1.4519722039968159</c:v>
                </c:pt>
                <c:pt idx="40">
                  <c:v>4.2132694305865659</c:v>
                </c:pt>
                <c:pt idx="41">
                  <c:v>4.530226239825963E-2</c:v>
                </c:pt>
                <c:pt idx="42">
                  <c:v>4.9392552886209478</c:v>
                </c:pt>
                <c:pt idx="43">
                  <c:v>0.37230476798509771</c:v>
                </c:pt>
                <c:pt idx="44">
                  <c:v>2.9626263204548819</c:v>
                </c:pt>
                <c:pt idx="45">
                  <c:v>3.219604612084106</c:v>
                </c:pt>
                <c:pt idx="46">
                  <c:v>3.6486105925362033</c:v>
                </c:pt>
                <c:pt idx="47">
                  <c:v>0.38057358671321373</c:v>
                </c:pt>
                <c:pt idx="48">
                  <c:v>1.6981125407144038</c:v>
                </c:pt>
                <c:pt idx="49">
                  <c:v>2.8258139854001318</c:v>
                </c:pt>
                <c:pt idx="50">
                  <c:v>4.7548008046711852</c:v>
                </c:pt>
                <c:pt idx="51">
                  <c:v>1.7729511720835571</c:v>
                </c:pt>
                <c:pt idx="52">
                  <c:v>2.1224716191438247</c:v>
                </c:pt>
                <c:pt idx="53">
                  <c:v>1.4103475760760271</c:v>
                </c:pt>
                <c:pt idx="54">
                  <c:v>2.4787719755397477</c:v>
                </c:pt>
                <c:pt idx="55">
                  <c:v>4.5489196593963852</c:v>
                </c:pt>
                <c:pt idx="56">
                  <c:v>1.1737554953874541</c:v>
                </c:pt>
                <c:pt idx="57">
                  <c:v>2.511174830212707</c:v>
                </c:pt>
                <c:pt idx="58">
                  <c:v>1.7303747198591968</c:v>
                </c:pt>
                <c:pt idx="59">
                  <c:v>0.4471940154638232</c:v>
                </c:pt>
                <c:pt idx="60">
                  <c:v>2.8530906166490539</c:v>
                </c:pt>
                <c:pt idx="61">
                  <c:v>4.3674705382050529</c:v>
                </c:pt>
                <c:pt idx="62">
                  <c:v>1.8740014040443747</c:v>
                </c:pt>
                <c:pt idx="63">
                  <c:v>3.6328432903821337</c:v>
                </c:pt>
                <c:pt idx="64">
                  <c:v>0.15948631471751462</c:v>
                </c:pt>
                <c:pt idx="65">
                  <c:v>4.911095954842331</c:v>
                </c:pt>
                <c:pt idx="66">
                  <c:v>3.4480632883402618</c:v>
                </c:pt>
                <c:pt idx="67">
                  <c:v>0.13195544431181483</c:v>
                </c:pt>
                <c:pt idx="68">
                  <c:v>1.9834678721741801</c:v>
                </c:pt>
                <c:pt idx="69">
                  <c:v>1.3623879886491086</c:v>
                </c:pt>
                <c:pt idx="70">
                  <c:v>1.8305755986122314</c:v>
                </c:pt>
                <c:pt idx="71">
                  <c:v>2.0787506078749689</c:v>
                </c:pt>
                <c:pt idx="72">
                  <c:v>3.2133296074383089</c:v>
                </c:pt>
                <c:pt idx="73">
                  <c:v>4.6205460645137064</c:v>
                </c:pt>
                <c:pt idx="74">
                  <c:v>0.39661272410993542</c:v>
                </c:pt>
                <c:pt idx="75">
                  <c:v>2.0300690886687516</c:v>
                </c:pt>
                <c:pt idx="76">
                  <c:v>2.1800374515822165</c:v>
                </c:pt>
                <c:pt idx="77">
                  <c:v>3.0551418183075478</c:v>
                </c:pt>
                <c:pt idx="78">
                  <c:v>4.0968813324704518</c:v>
                </c:pt>
                <c:pt idx="79">
                  <c:v>0.16587162748060824</c:v>
                </c:pt>
                <c:pt idx="80">
                  <c:v>2.8496621985053308</c:v>
                </c:pt>
                <c:pt idx="81">
                  <c:v>2.5475471215487118</c:v>
                </c:pt>
                <c:pt idx="82">
                  <c:v>4.1378770486223573</c:v>
                </c:pt>
                <c:pt idx="83">
                  <c:v>0.77300613406724783</c:v>
                </c:pt>
                <c:pt idx="84">
                  <c:v>4.8434565771180411</c:v>
                </c:pt>
                <c:pt idx="85">
                  <c:v>1.3744289997457582</c:v>
                </c:pt>
                <c:pt idx="86">
                  <c:v>2.0515129307662465</c:v>
                </c:pt>
                <c:pt idx="87">
                  <c:v>3.6937377878392756</c:v>
                </c:pt>
                <c:pt idx="88">
                  <c:v>0.722204401882931</c:v>
                </c:pt>
                <c:pt idx="89">
                  <c:v>1.9076657339590746</c:v>
                </c:pt>
                <c:pt idx="90">
                  <c:v>1.2193822244013885</c:v>
                </c:pt>
                <c:pt idx="91">
                  <c:v>0.62600185820939458</c:v>
                </c:pt>
                <c:pt idx="92">
                  <c:v>0.33343182522473924</c:v>
                </c:pt>
                <c:pt idx="93">
                  <c:v>4.1657817954241452</c:v>
                </c:pt>
                <c:pt idx="94">
                  <c:v>1.4636074984727798</c:v>
                </c:pt>
                <c:pt idx="95">
                  <c:v>1.2108821295850665</c:v>
                </c:pt>
                <c:pt idx="96">
                  <c:v>3.8720476814821332</c:v>
                </c:pt>
                <c:pt idx="97">
                  <c:v>3.3762378347179811</c:v>
                </c:pt>
                <c:pt idx="98">
                  <c:v>2.9081221693512611</c:v>
                </c:pt>
                <c:pt idx="99">
                  <c:v>0.34602729070550342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C4-4A51-86F4-C60B6B7CF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027424"/>
        <c:axId val="906543152"/>
      </c:scatterChart>
      <c:valAx>
        <c:axId val="86202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Lead 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543152"/>
        <c:crosses val="autoZero"/>
        <c:crossBetween val="midCat"/>
      </c:valAx>
      <c:valAx>
        <c:axId val="90654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Defect 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2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Deeper_analysis!$B$14</c:f>
              <c:strCache>
                <c:ptCount val="1"/>
                <c:pt idx="0">
                  <c:v>Number of products sold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Deeper_analysis!$A$15:$A$114</c:f>
              <c:numCache>
                <c:formatCode>General</c:formatCode>
                <c:ptCount val="100"/>
                <c:pt idx="0">
                  <c:v>69.808005542115765</c:v>
                </c:pt>
                <c:pt idx="1">
                  <c:v>14.843523275084339</c:v>
                </c:pt>
                <c:pt idx="2">
                  <c:v>11.319683293090566</c:v>
                </c:pt>
                <c:pt idx="3">
                  <c:v>61.163343016437736</c:v>
                </c:pt>
                <c:pt idx="4">
                  <c:v>4.8054960363458932</c:v>
                </c:pt>
                <c:pt idx="5">
                  <c:v>1.6999760138659377</c:v>
                </c:pt>
                <c:pt idx="6">
                  <c:v>4.0783328631079447</c:v>
                </c:pt>
                <c:pt idx="7">
                  <c:v>42.958384382460068</c:v>
                </c:pt>
                <c:pt idx="8">
                  <c:v>68.717596748527328</c:v>
                </c:pt>
                <c:pt idx="9">
                  <c:v>64.015732941278543</c:v>
                </c:pt>
                <c:pt idx="10">
                  <c:v>15.707795681912138</c:v>
                </c:pt>
                <c:pt idx="11">
                  <c:v>90.635459982288666</c:v>
                </c:pt>
                <c:pt idx="12">
                  <c:v>71.213389075360084</c:v>
                </c:pt>
                <c:pt idx="13">
                  <c:v>16.160393317379977</c:v>
                </c:pt>
                <c:pt idx="14">
                  <c:v>99.171328638624189</c:v>
                </c:pt>
                <c:pt idx="15">
                  <c:v>36.98924492862691</c:v>
                </c:pt>
                <c:pt idx="16">
                  <c:v>7.5471721097912718</c:v>
                </c:pt>
                <c:pt idx="17">
                  <c:v>81.462534369237019</c:v>
                </c:pt>
                <c:pt idx="18">
                  <c:v>36.443627770460935</c:v>
                </c:pt>
                <c:pt idx="19">
                  <c:v>51.12387008796474</c:v>
                </c:pt>
                <c:pt idx="20">
                  <c:v>96.341072439963384</c:v>
                </c:pt>
                <c:pt idx="21">
                  <c:v>84.893868984950828</c:v>
                </c:pt>
                <c:pt idx="22">
                  <c:v>27.679780886501959</c:v>
                </c:pt>
                <c:pt idx="23">
                  <c:v>4.3243411858641636</c:v>
                </c:pt>
                <c:pt idx="24">
                  <c:v>4.1563083593111081</c:v>
                </c:pt>
                <c:pt idx="25">
                  <c:v>39.629343985092625</c:v>
                </c:pt>
                <c:pt idx="26">
                  <c:v>97.44694661789282</c:v>
                </c:pt>
                <c:pt idx="27">
                  <c:v>92.557360812402024</c:v>
                </c:pt>
                <c:pt idx="28">
                  <c:v>2.3972747055971411</c:v>
                </c:pt>
                <c:pt idx="29">
                  <c:v>63.447559185207332</c:v>
                </c:pt>
                <c:pt idx="30">
                  <c:v>8.0228592105263932</c:v>
                </c:pt>
                <c:pt idx="31">
                  <c:v>50.847393051718697</c:v>
                </c:pt>
                <c:pt idx="32">
                  <c:v>79.209936015656723</c:v>
                </c:pt>
                <c:pt idx="33">
                  <c:v>64.795435000155607</c:v>
                </c:pt>
                <c:pt idx="34">
                  <c:v>37.467592329842461</c:v>
                </c:pt>
                <c:pt idx="35">
                  <c:v>84.957786816350435</c:v>
                </c:pt>
                <c:pt idx="36">
                  <c:v>9.8130025787540518</c:v>
                </c:pt>
                <c:pt idx="37">
                  <c:v>23.399844752614349</c:v>
                </c:pt>
                <c:pt idx="38">
                  <c:v>52.075930682707799</c:v>
                </c:pt>
                <c:pt idx="39">
                  <c:v>19.127477265823256</c:v>
                </c:pt>
                <c:pt idx="40">
                  <c:v>80.541424170940331</c:v>
                </c:pt>
                <c:pt idx="41">
                  <c:v>99.113291615317166</c:v>
                </c:pt>
                <c:pt idx="42">
                  <c:v>46.529167614516773</c:v>
                </c:pt>
                <c:pt idx="43">
                  <c:v>11.743271776309239</c:v>
                </c:pt>
                <c:pt idx="44">
                  <c:v>51.35579091311039</c:v>
                </c:pt>
                <c:pt idx="45">
                  <c:v>33.78413803306551</c:v>
                </c:pt>
                <c:pt idx="46">
                  <c:v>27.082207199888899</c:v>
                </c:pt>
                <c:pt idx="47">
                  <c:v>95.712135880936088</c:v>
                </c:pt>
                <c:pt idx="48">
                  <c:v>76.035544426891718</c:v>
                </c:pt>
                <c:pt idx="49">
                  <c:v>78.897913205640037</c:v>
                </c:pt>
                <c:pt idx="50">
                  <c:v>14.203484264803022</c:v>
                </c:pt>
                <c:pt idx="51">
                  <c:v>26.70076097246173</c:v>
                </c:pt>
                <c:pt idx="52">
                  <c:v>98.031829656465078</c:v>
                </c:pt>
                <c:pt idx="53">
                  <c:v>30.341470711214214</c:v>
                </c:pt>
                <c:pt idx="54">
                  <c:v>31.146243160240854</c:v>
                </c:pt>
                <c:pt idx="55">
                  <c:v>79.855058340789427</c:v>
                </c:pt>
                <c:pt idx="56">
                  <c:v>20.986386037043378</c:v>
                </c:pt>
                <c:pt idx="57">
                  <c:v>49.263205350734154</c:v>
                </c:pt>
                <c:pt idx="58">
                  <c:v>59.84156137728931</c:v>
                </c:pt>
                <c:pt idx="59">
                  <c:v>63.828398347710966</c:v>
                </c:pt>
                <c:pt idx="60">
                  <c:v>17.028027920188702</c:v>
                </c:pt>
                <c:pt idx="61">
                  <c:v>52.028749903294923</c:v>
                </c:pt>
                <c:pt idx="62">
                  <c:v>72.796353955587364</c:v>
                </c:pt>
                <c:pt idx="63">
                  <c:v>13.017376785287857</c:v>
                </c:pt>
                <c:pt idx="64">
                  <c:v>89.634095608135326</c:v>
                </c:pt>
                <c:pt idx="65">
                  <c:v>33.697717206643127</c:v>
                </c:pt>
                <c:pt idx="66">
                  <c:v>26.034869773962086</c:v>
                </c:pt>
                <c:pt idx="67">
                  <c:v>87.755432354001073</c:v>
                </c:pt>
                <c:pt idx="68">
                  <c:v>37.931812382790319</c:v>
                </c:pt>
                <c:pt idx="69">
                  <c:v>54.865528517069791</c:v>
                </c:pt>
                <c:pt idx="70">
                  <c:v>47.914541824058766</c:v>
                </c:pt>
                <c:pt idx="71">
                  <c:v>6.3815331627479663</c:v>
                </c:pt>
                <c:pt idx="72">
                  <c:v>90.204427520528071</c:v>
                </c:pt>
                <c:pt idx="73">
                  <c:v>83.851017681304597</c:v>
                </c:pt>
                <c:pt idx="74">
                  <c:v>3.1700114135661548</c:v>
                </c:pt>
                <c:pt idx="75">
                  <c:v>92.996884233970661</c:v>
                </c:pt>
                <c:pt idx="76">
                  <c:v>69.108799547430323</c:v>
                </c:pt>
                <c:pt idx="77">
                  <c:v>57.449742958971477</c:v>
                </c:pt>
                <c:pt idx="78">
                  <c:v>6.3068831761119153</c:v>
                </c:pt>
                <c:pt idx="79">
                  <c:v>57.057031221103223</c:v>
                </c:pt>
                <c:pt idx="80">
                  <c:v>91.128318350444331</c:v>
                </c:pt>
                <c:pt idx="81">
                  <c:v>72.819206930318217</c:v>
                </c:pt>
                <c:pt idx="82">
                  <c:v>17.034930739467917</c:v>
                </c:pt>
                <c:pt idx="83">
                  <c:v>68.911246211606326</c:v>
                </c:pt>
                <c:pt idx="84">
                  <c:v>89.104367292102253</c:v>
                </c:pt>
                <c:pt idx="85">
                  <c:v>76.962994415193876</c:v>
                </c:pt>
                <c:pt idx="86">
                  <c:v>19.998176940404221</c:v>
                </c:pt>
                <c:pt idx="87">
                  <c:v>80.41403665035574</c:v>
                </c:pt>
                <c:pt idx="88">
                  <c:v>75.27040697572501</c:v>
                </c:pt>
                <c:pt idx="89">
                  <c:v>97.760085581938668</c:v>
                </c:pt>
                <c:pt idx="90">
                  <c:v>13.881913501359142</c:v>
                </c:pt>
                <c:pt idx="91">
                  <c:v>62.111965463961788</c:v>
                </c:pt>
                <c:pt idx="92">
                  <c:v>47.714233075820232</c:v>
                </c:pt>
                <c:pt idx="93">
                  <c:v>69.290831002905492</c:v>
                </c:pt>
                <c:pt idx="94">
                  <c:v>3.0376887246314141</c:v>
                </c:pt>
                <c:pt idx="95">
                  <c:v>77.903927219447752</c:v>
                </c:pt>
                <c:pt idx="96">
                  <c:v>24.42313142037338</c:v>
                </c:pt>
                <c:pt idx="97">
                  <c:v>3.5261112591434158</c:v>
                </c:pt>
                <c:pt idx="98">
                  <c:v>19.754604866878601</c:v>
                </c:pt>
                <c:pt idx="99">
                  <c:v>68.517832699276639</c:v>
                </c:pt>
              </c:numCache>
            </c:numRef>
          </c:xVal>
          <c:yVal>
            <c:numRef>
              <c:f>Deeper_analysis!$B$15:$B$114</c:f>
              <c:numCache>
                <c:formatCode>General</c:formatCode>
                <c:ptCount val="100"/>
                <c:pt idx="0">
                  <c:v>802</c:v>
                </c:pt>
                <c:pt idx="1">
                  <c:v>736</c:v>
                </c:pt>
                <c:pt idx="2">
                  <c:v>8</c:v>
                </c:pt>
                <c:pt idx="3">
                  <c:v>83</c:v>
                </c:pt>
                <c:pt idx="4">
                  <c:v>871</c:v>
                </c:pt>
                <c:pt idx="5">
                  <c:v>147</c:v>
                </c:pt>
                <c:pt idx="6">
                  <c:v>65</c:v>
                </c:pt>
                <c:pt idx="7">
                  <c:v>426</c:v>
                </c:pt>
                <c:pt idx="8">
                  <c:v>150</c:v>
                </c:pt>
                <c:pt idx="9">
                  <c:v>980</c:v>
                </c:pt>
                <c:pt idx="10">
                  <c:v>996</c:v>
                </c:pt>
                <c:pt idx="11">
                  <c:v>960</c:v>
                </c:pt>
                <c:pt idx="12">
                  <c:v>336</c:v>
                </c:pt>
                <c:pt idx="13">
                  <c:v>249</c:v>
                </c:pt>
                <c:pt idx="14">
                  <c:v>562</c:v>
                </c:pt>
                <c:pt idx="15">
                  <c:v>469</c:v>
                </c:pt>
                <c:pt idx="16">
                  <c:v>280</c:v>
                </c:pt>
                <c:pt idx="17">
                  <c:v>126</c:v>
                </c:pt>
                <c:pt idx="18">
                  <c:v>620</c:v>
                </c:pt>
                <c:pt idx="19">
                  <c:v>187</c:v>
                </c:pt>
                <c:pt idx="20">
                  <c:v>320</c:v>
                </c:pt>
                <c:pt idx="21">
                  <c:v>601</c:v>
                </c:pt>
                <c:pt idx="22">
                  <c:v>884</c:v>
                </c:pt>
                <c:pt idx="23">
                  <c:v>391</c:v>
                </c:pt>
                <c:pt idx="24">
                  <c:v>209</c:v>
                </c:pt>
                <c:pt idx="25">
                  <c:v>142</c:v>
                </c:pt>
                <c:pt idx="26">
                  <c:v>353</c:v>
                </c:pt>
                <c:pt idx="27">
                  <c:v>352</c:v>
                </c:pt>
                <c:pt idx="28">
                  <c:v>394</c:v>
                </c:pt>
                <c:pt idx="29">
                  <c:v>253</c:v>
                </c:pt>
                <c:pt idx="30">
                  <c:v>327</c:v>
                </c:pt>
                <c:pt idx="31">
                  <c:v>168</c:v>
                </c:pt>
                <c:pt idx="32">
                  <c:v>781</c:v>
                </c:pt>
                <c:pt idx="33">
                  <c:v>616</c:v>
                </c:pt>
                <c:pt idx="34">
                  <c:v>602</c:v>
                </c:pt>
                <c:pt idx="35">
                  <c:v>449</c:v>
                </c:pt>
                <c:pt idx="36">
                  <c:v>963</c:v>
                </c:pt>
                <c:pt idx="37">
                  <c:v>963</c:v>
                </c:pt>
                <c:pt idx="38">
                  <c:v>705</c:v>
                </c:pt>
                <c:pt idx="39">
                  <c:v>176</c:v>
                </c:pt>
                <c:pt idx="40">
                  <c:v>933</c:v>
                </c:pt>
                <c:pt idx="41">
                  <c:v>556</c:v>
                </c:pt>
                <c:pt idx="42">
                  <c:v>155</c:v>
                </c:pt>
                <c:pt idx="43">
                  <c:v>598</c:v>
                </c:pt>
                <c:pt idx="44">
                  <c:v>919</c:v>
                </c:pt>
                <c:pt idx="45">
                  <c:v>24</c:v>
                </c:pt>
                <c:pt idx="46">
                  <c:v>859</c:v>
                </c:pt>
                <c:pt idx="47">
                  <c:v>910</c:v>
                </c:pt>
                <c:pt idx="48">
                  <c:v>29</c:v>
                </c:pt>
                <c:pt idx="49">
                  <c:v>99</c:v>
                </c:pt>
                <c:pt idx="50">
                  <c:v>633</c:v>
                </c:pt>
                <c:pt idx="51">
                  <c:v>154</c:v>
                </c:pt>
                <c:pt idx="52">
                  <c:v>820</c:v>
                </c:pt>
                <c:pt idx="53">
                  <c:v>242</c:v>
                </c:pt>
                <c:pt idx="54">
                  <c:v>622</c:v>
                </c:pt>
                <c:pt idx="55">
                  <c:v>701</c:v>
                </c:pt>
                <c:pt idx="56">
                  <c:v>93</c:v>
                </c:pt>
                <c:pt idx="57">
                  <c:v>227</c:v>
                </c:pt>
                <c:pt idx="58">
                  <c:v>896</c:v>
                </c:pt>
                <c:pt idx="59">
                  <c:v>484</c:v>
                </c:pt>
                <c:pt idx="60">
                  <c:v>380</c:v>
                </c:pt>
                <c:pt idx="61">
                  <c:v>117</c:v>
                </c:pt>
                <c:pt idx="62">
                  <c:v>270</c:v>
                </c:pt>
                <c:pt idx="63">
                  <c:v>246</c:v>
                </c:pt>
                <c:pt idx="64">
                  <c:v>134</c:v>
                </c:pt>
                <c:pt idx="65">
                  <c:v>457</c:v>
                </c:pt>
                <c:pt idx="66">
                  <c:v>704</c:v>
                </c:pt>
                <c:pt idx="67">
                  <c:v>513</c:v>
                </c:pt>
                <c:pt idx="68">
                  <c:v>163</c:v>
                </c:pt>
                <c:pt idx="69">
                  <c:v>511</c:v>
                </c:pt>
                <c:pt idx="70">
                  <c:v>32</c:v>
                </c:pt>
                <c:pt idx="71">
                  <c:v>637</c:v>
                </c:pt>
                <c:pt idx="72">
                  <c:v>478</c:v>
                </c:pt>
                <c:pt idx="73">
                  <c:v>375</c:v>
                </c:pt>
                <c:pt idx="74">
                  <c:v>904</c:v>
                </c:pt>
                <c:pt idx="75">
                  <c:v>106</c:v>
                </c:pt>
                <c:pt idx="76">
                  <c:v>241</c:v>
                </c:pt>
                <c:pt idx="77">
                  <c:v>359</c:v>
                </c:pt>
                <c:pt idx="78">
                  <c:v>946</c:v>
                </c:pt>
                <c:pt idx="79">
                  <c:v>198</c:v>
                </c:pt>
                <c:pt idx="80">
                  <c:v>872</c:v>
                </c:pt>
                <c:pt idx="81">
                  <c:v>774</c:v>
                </c:pt>
                <c:pt idx="82">
                  <c:v>336</c:v>
                </c:pt>
                <c:pt idx="83">
                  <c:v>663</c:v>
                </c:pt>
                <c:pt idx="84">
                  <c:v>618</c:v>
                </c:pt>
                <c:pt idx="85">
                  <c:v>25</c:v>
                </c:pt>
                <c:pt idx="86">
                  <c:v>223</c:v>
                </c:pt>
                <c:pt idx="87">
                  <c:v>79</c:v>
                </c:pt>
                <c:pt idx="88">
                  <c:v>737</c:v>
                </c:pt>
                <c:pt idx="89">
                  <c:v>134</c:v>
                </c:pt>
                <c:pt idx="90">
                  <c:v>320</c:v>
                </c:pt>
                <c:pt idx="91">
                  <c:v>916</c:v>
                </c:pt>
                <c:pt idx="92">
                  <c:v>276</c:v>
                </c:pt>
                <c:pt idx="93">
                  <c:v>114</c:v>
                </c:pt>
                <c:pt idx="94">
                  <c:v>987</c:v>
                </c:pt>
                <c:pt idx="95">
                  <c:v>672</c:v>
                </c:pt>
                <c:pt idx="96">
                  <c:v>324</c:v>
                </c:pt>
                <c:pt idx="97">
                  <c:v>62</c:v>
                </c:pt>
                <c:pt idx="98">
                  <c:v>913</c:v>
                </c:pt>
                <c:pt idx="99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5-4C5E-A670-EF54CFE3C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805327"/>
        <c:axId val="465590543"/>
      </c:scatterChart>
      <c:valAx>
        <c:axId val="78780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90543"/>
        <c:crosses val="autoZero"/>
        <c:crossBetween val="midCat"/>
      </c:valAx>
      <c:valAx>
        <c:axId val="4655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  <a:r>
                  <a:rPr lang="en-US" baseline="0"/>
                  <a:t> sold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0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Type</a:t>
            </a:r>
          </a:p>
        </c:rich>
      </c:tx>
      <c:layout>
        <c:manualLayout>
          <c:xMode val="edge"/>
          <c:yMode val="edge"/>
          <c:x val="0.283263779527559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Chart!$A$2:$A$4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Chart!$B$2:$B$4</c:f>
              <c:numCache>
                <c:formatCode>"$"#,##0.00</c:formatCode>
                <c:ptCount val="3"/>
                <c:pt idx="0">
                  <c:v>241628.16213306325</c:v>
                </c:pt>
                <c:pt idx="1">
                  <c:v>174455.39060546231</c:v>
                </c:pt>
                <c:pt idx="2">
                  <c:v>161521.26599948312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3-4451-8730-A235A95D2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2058032"/>
        <c:axId val="434633584"/>
      </c:barChart>
      <c:catAx>
        <c:axId val="67205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33584"/>
        <c:crosses val="autoZero"/>
        <c:auto val="1"/>
        <c:lblAlgn val="ctr"/>
        <c:lblOffset val="100"/>
        <c:noMultiLvlLbl val="0"/>
      </c:catAx>
      <c:valAx>
        <c:axId val="43463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5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project.xlsx]Chart!PivotTable1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Estimated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Chart!$B$6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Chart!$A$7:$A$10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Chart!$B$7:$B$10</c:f>
              <c:numCache>
                <c:formatCode>"$"#,##0.00</c:formatCode>
                <c:ptCount val="3"/>
                <c:pt idx="0">
                  <c:v>161521.26599948312</c:v>
                </c:pt>
                <c:pt idx="1">
                  <c:v>174455.39060546231</c:v>
                </c:pt>
                <c:pt idx="2">
                  <c:v>241628.16213306325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3-4406-9F3D-AF7B7943E31D}"/>
            </c:ext>
          </c:extLst>
        </c:ser>
        <c:ser>
          <c:idx val="1"/>
          <c:order val="1"/>
          <c:tx>
            <c:strRef>
              <c:f>Chart!$C$6</c:f>
              <c:strCache>
                <c:ptCount val="1"/>
                <c:pt idx="0">
                  <c:v>Total Estimated Profit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Chart!$A$7:$A$10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Chart!$C$7:$C$10</c:f>
              <c:numCache>
                <c:formatCode>"$"#,##0.00</c:formatCode>
                <c:ptCount val="3"/>
                <c:pt idx="0">
                  <c:v>132560.49746341666</c:v>
                </c:pt>
                <c:pt idx="1">
                  <c:v>136463.95596427348</c:v>
                </c:pt>
                <c:pt idx="2">
                  <c:v>187024.11777035741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3-4406-9F3D-AF7B7943E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75617456"/>
        <c:axId val="598295888"/>
      </c:barChart>
      <c:catAx>
        <c:axId val="77561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95888"/>
        <c:crosses val="autoZero"/>
        <c:auto val="1"/>
        <c:lblAlgn val="ctr"/>
        <c:lblOffset val="100"/>
        <c:noMultiLvlLbl val="0"/>
      </c:catAx>
      <c:valAx>
        <c:axId val="59829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1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 Defect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Chart!$B$12</c:f>
              <c:strCache>
                <c:ptCount val="1"/>
                <c:pt idx="0">
                  <c:v>Average Defect Rate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Chart!$A$13:$A$17</c:f>
              <c:strCache>
                <c:ptCount val="5"/>
                <c:pt idx="0">
                  <c:v>Supplier 1</c:v>
                </c:pt>
                <c:pt idx="1">
                  <c:v>Supplier 4</c:v>
                </c:pt>
                <c:pt idx="2">
                  <c:v>Supplier 2</c:v>
                </c:pt>
                <c:pt idx="3">
                  <c:v>Supplier 3</c:v>
                </c:pt>
                <c:pt idx="4">
                  <c:v>Supplier 5</c:v>
                </c:pt>
              </c:strCache>
            </c:strRef>
          </c:cat>
          <c:val>
            <c:numRef>
              <c:f>Chart!$B$13:$B$17</c:f>
              <c:numCache>
                <c:formatCode>0.00</c:formatCode>
                <c:ptCount val="5"/>
                <c:pt idx="0">
                  <c:v>1.8036297116882525</c:v>
                </c:pt>
                <c:pt idx="1">
                  <c:v>2.3373974005913398</c:v>
                </c:pt>
                <c:pt idx="2">
                  <c:v>2.3627501450718813</c:v>
                </c:pt>
                <c:pt idx="3">
                  <c:v>2.4657860307644701</c:v>
                </c:pt>
                <c:pt idx="4">
                  <c:v>2.6654083441492014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9-4967-824D-B38C096CE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62039024"/>
        <c:axId val="496745904"/>
      </c:barChart>
      <c:catAx>
        <c:axId val="86203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45904"/>
        <c:crosses val="autoZero"/>
        <c:auto val="1"/>
        <c:lblAlgn val="ctr"/>
        <c:lblOffset val="100"/>
        <c:noMultiLvlLbl val="0"/>
      </c:catAx>
      <c:valAx>
        <c:axId val="49674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3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Cost by Transportation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Chart!$B$20</c:f>
              <c:strCache>
                <c:ptCount val="1"/>
                <c:pt idx="0">
                  <c:v>Total Shipping Costs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Chart!$A$21:$A$24</c:f>
              <c:strCache>
                <c:ptCount val="4"/>
                <c:pt idx="0">
                  <c:v>Air</c:v>
                </c:pt>
                <c:pt idx="1">
                  <c:v>Road</c:v>
                </c:pt>
                <c:pt idx="2">
                  <c:v>Rail</c:v>
                </c:pt>
                <c:pt idx="3">
                  <c:v>Sea</c:v>
                </c:pt>
              </c:strCache>
            </c:strRef>
          </c:cat>
          <c:val>
            <c:numRef>
              <c:f>Chart!$B$21:$B$24</c:f>
              <c:numCache>
                <c:formatCode>"$"#,##0.00</c:formatCode>
                <c:ptCount val="4"/>
                <c:pt idx="0">
                  <c:v>19098</c:v>
                </c:pt>
                <c:pt idx="1">
                  <c:v>16985</c:v>
                </c:pt>
                <c:pt idx="2">
                  <c:v>16547</c:v>
                </c:pt>
                <c:pt idx="3">
                  <c:v>11275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C-4F5A-933C-1E5E2C424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2020464"/>
        <c:axId val="264928496"/>
      </c:barChart>
      <c:catAx>
        <c:axId val="86202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Transportation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28496"/>
        <c:crosses val="autoZero"/>
        <c:auto val="1"/>
        <c:lblAlgn val="ctr"/>
        <c:lblOffset val="100"/>
        <c:noMultiLvlLbl val="0"/>
      </c:catAx>
      <c:valAx>
        <c:axId val="2649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Shipping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2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Time by Transportation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Chart!$B$26</c:f>
              <c:strCache>
                <c:ptCount val="1"/>
                <c:pt idx="0">
                  <c:v>Avg Shipping Times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Chart!$A$27:$A$30</c:f>
              <c:strCache>
                <c:ptCount val="4"/>
                <c:pt idx="0">
                  <c:v>Sea</c:v>
                </c:pt>
                <c:pt idx="1">
                  <c:v>Rail</c:v>
                </c:pt>
                <c:pt idx="2">
                  <c:v>Air</c:v>
                </c:pt>
                <c:pt idx="3">
                  <c:v>Road</c:v>
                </c:pt>
              </c:strCache>
            </c:strRef>
          </c:cat>
          <c:val>
            <c:numRef>
              <c:f>Chart!$B$27:$B$30</c:f>
              <c:numCache>
                <c:formatCode>0.00</c:formatCode>
                <c:ptCount val="4"/>
                <c:pt idx="0">
                  <c:v>7.117647058823529</c:v>
                </c:pt>
                <c:pt idx="1">
                  <c:v>6.5714285714285712</c:v>
                </c:pt>
                <c:pt idx="2">
                  <c:v>5.115384615384615</c:v>
                </c:pt>
                <c:pt idx="3">
                  <c:v>4.7241379310344831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F-4739-8F3F-8D76298CC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1977312"/>
        <c:axId val="906533552"/>
      </c:barChart>
      <c:catAx>
        <c:axId val="86197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Transportation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533552"/>
        <c:crosses val="autoZero"/>
        <c:auto val="1"/>
        <c:lblAlgn val="ctr"/>
        <c:lblOffset val="100"/>
        <c:noMultiLvlLbl val="0"/>
      </c:catAx>
      <c:valAx>
        <c:axId val="90653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Shipping 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7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 Time vs Defect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Chart!$B$32</c:f>
              <c:strCache>
                <c:ptCount val="1"/>
                <c:pt idx="0">
                  <c:v>Defect rates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Chart!$A$33:$A$132</c:f>
              <c:numCache>
                <c:formatCode>General</c:formatCode>
                <c:ptCount val="100"/>
                <c:pt idx="0">
                  <c:v>40</c:v>
                </c:pt>
                <c:pt idx="1">
                  <c:v>62</c:v>
                </c:pt>
                <c:pt idx="2">
                  <c:v>39</c:v>
                </c:pt>
                <c:pt idx="3">
                  <c:v>37</c:v>
                </c:pt>
                <c:pt idx="4">
                  <c:v>14</c:v>
                </c:pt>
                <c:pt idx="5">
                  <c:v>47</c:v>
                </c:pt>
                <c:pt idx="6">
                  <c:v>47</c:v>
                </c:pt>
                <c:pt idx="7">
                  <c:v>19</c:v>
                </c:pt>
                <c:pt idx="8">
                  <c:v>25</c:v>
                </c:pt>
                <c:pt idx="9">
                  <c:v>51</c:v>
                </c:pt>
                <c:pt idx="10">
                  <c:v>20</c:v>
                </c:pt>
                <c:pt idx="11">
                  <c:v>35</c:v>
                </c:pt>
                <c:pt idx="12">
                  <c:v>37</c:v>
                </c:pt>
                <c:pt idx="13">
                  <c:v>27</c:v>
                </c:pt>
                <c:pt idx="14">
                  <c:v>48</c:v>
                </c:pt>
                <c:pt idx="15">
                  <c:v>22</c:v>
                </c:pt>
                <c:pt idx="16">
                  <c:v>27</c:v>
                </c:pt>
                <c:pt idx="17">
                  <c:v>42</c:v>
                </c:pt>
                <c:pt idx="18">
                  <c:v>35</c:v>
                </c:pt>
                <c:pt idx="19">
                  <c:v>30</c:v>
                </c:pt>
                <c:pt idx="20">
                  <c:v>24</c:v>
                </c:pt>
                <c:pt idx="21">
                  <c:v>35</c:v>
                </c:pt>
                <c:pt idx="22">
                  <c:v>39</c:v>
                </c:pt>
                <c:pt idx="23">
                  <c:v>41</c:v>
                </c:pt>
                <c:pt idx="24">
                  <c:v>37</c:v>
                </c:pt>
                <c:pt idx="25">
                  <c:v>37</c:v>
                </c:pt>
                <c:pt idx="26">
                  <c:v>24</c:v>
                </c:pt>
                <c:pt idx="27">
                  <c:v>21</c:v>
                </c:pt>
                <c:pt idx="28">
                  <c:v>26</c:v>
                </c:pt>
                <c:pt idx="29">
                  <c:v>19</c:v>
                </c:pt>
                <c:pt idx="30">
                  <c:v>63</c:v>
                </c:pt>
                <c:pt idx="31">
                  <c:v>29</c:v>
                </c:pt>
                <c:pt idx="32">
                  <c:v>24</c:v>
                </c:pt>
                <c:pt idx="33">
                  <c:v>49</c:v>
                </c:pt>
                <c:pt idx="34">
                  <c:v>43</c:v>
                </c:pt>
                <c:pt idx="35">
                  <c:v>37</c:v>
                </c:pt>
                <c:pt idx="36">
                  <c:v>45</c:v>
                </c:pt>
                <c:pt idx="37">
                  <c:v>32</c:v>
                </c:pt>
                <c:pt idx="38">
                  <c:v>18</c:v>
                </c:pt>
                <c:pt idx="39">
                  <c:v>38</c:v>
                </c:pt>
                <c:pt idx="40">
                  <c:v>29</c:v>
                </c:pt>
                <c:pt idx="41">
                  <c:v>34</c:v>
                </c:pt>
                <c:pt idx="42">
                  <c:v>38</c:v>
                </c:pt>
                <c:pt idx="43">
                  <c:v>61</c:v>
                </c:pt>
                <c:pt idx="44">
                  <c:v>43</c:v>
                </c:pt>
                <c:pt idx="45">
                  <c:v>38</c:v>
                </c:pt>
                <c:pt idx="46">
                  <c:v>60</c:v>
                </c:pt>
                <c:pt idx="47">
                  <c:v>44</c:v>
                </c:pt>
                <c:pt idx="48">
                  <c:v>37</c:v>
                </c:pt>
                <c:pt idx="49">
                  <c:v>58</c:v>
                </c:pt>
                <c:pt idx="50">
                  <c:v>54</c:v>
                </c:pt>
                <c:pt idx="51">
                  <c:v>33</c:v>
                </c:pt>
                <c:pt idx="52">
                  <c:v>39</c:v>
                </c:pt>
                <c:pt idx="53">
                  <c:v>45</c:v>
                </c:pt>
                <c:pt idx="54">
                  <c:v>54</c:v>
                </c:pt>
                <c:pt idx="55">
                  <c:v>21</c:v>
                </c:pt>
                <c:pt idx="56">
                  <c:v>56</c:v>
                </c:pt>
                <c:pt idx="57">
                  <c:v>44</c:v>
                </c:pt>
                <c:pt idx="58">
                  <c:v>19</c:v>
                </c:pt>
                <c:pt idx="59">
                  <c:v>27</c:v>
                </c:pt>
                <c:pt idx="60">
                  <c:v>59</c:v>
                </c:pt>
                <c:pt idx="61">
                  <c:v>42</c:v>
                </c:pt>
                <c:pt idx="62">
                  <c:v>23</c:v>
                </c:pt>
                <c:pt idx="63">
                  <c:v>33</c:v>
                </c:pt>
                <c:pt idx="64">
                  <c:v>39</c:v>
                </c:pt>
                <c:pt idx="65">
                  <c:v>53</c:v>
                </c:pt>
                <c:pt idx="66">
                  <c:v>53</c:v>
                </c:pt>
                <c:pt idx="67">
                  <c:v>29</c:v>
                </c:pt>
                <c:pt idx="68">
                  <c:v>34</c:v>
                </c:pt>
                <c:pt idx="69">
                  <c:v>11</c:v>
                </c:pt>
                <c:pt idx="70">
                  <c:v>32</c:v>
                </c:pt>
                <c:pt idx="71">
                  <c:v>18</c:v>
                </c:pt>
                <c:pt idx="72">
                  <c:v>49</c:v>
                </c:pt>
                <c:pt idx="73">
                  <c:v>34</c:v>
                </c:pt>
                <c:pt idx="74">
                  <c:v>20</c:v>
                </c:pt>
                <c:pt idx="75">
                  <c:v>41</c:v>
                </c:pt>
                <c:pt idx="76">
                  <c:v>35</c:v>
                </c:pt>
                <c:pt idx="77">
                  <c:v>37</c:v>
                </c:pt>
                <c:pt idx="78">
                  <c:v>30</c:v>
                </c:pt>
                <c:pt idx="79">
                  <c:v>38</c:v>
                </c:pt>
                <c:pt idx="80">
                  <c:v>21</c:v>
                </c:pt>
                <c:pt idx="81">
                  <c:v>12</c:v>
                </c:pt>
                <c:pt idx="82">
                  <c:v>46</c:v>
                </c:pt>
                <c:pt idx="83">
                  <c:v>37</c:v>
                </c:pt>
                <c:pt idx="84">
                  <c:v>58</c:v>
                </c:pt>
                <c:pt idx="85">
                  <c:v>22</c:v>
                </c:pt>
                <c:pt idx="86">
                  <c:v>38</c:v>
                </c:pt>
                <c:pt idx="87">
                  <c:v>34</c:v>
                </c:pt>
                <c:pt idx="88">
                  <c:v>36</c:v>
                </c:pt>
                <c:pt idx="89">
                  <c:v>20</c:v>
                </c:pt>
                <c:pt idx="90">
                  <c:v>33</c:v>
                </c:pt>
                <c:pt idx="91">
                  <c:v>57</c:v>
                </c:pt>
                <c:pt idx="92">
                  <c:v>62</c:v>
                </c:pt>
                <c:pt idx="93">
                  <c:v>38</c:v>
                </c:pt>
                <c:pt idx="94">
                  <c:v>49</c:v>
                </c:pt>
                <c:pt idx="95">
                  <c:v>49</c:v>
                </c:pt>
                <c:pt idx="96">
                  <c:v>33</c:v>
                </c:pt>
                <c:pt idx="97">
                  <c:v>41</c:v>
                </c:pt>
                <c:pt idx="98">
                  <c:v>17</c:v>
                </c:pt>
                <c:pt idx="99">
                  <c:v>16</c:v>
                </c:pt>
              </c:numCache>
            </c:numRef>
          </c:xVal>
          <c:yVal>
            <c:numRef>
              <c:f>Chart!$B$33:$B$132</c:f>
              <c:numCache>
                <c:formatCode>General</c:formatCode>
                <c:ptCount val="100"/>
                <c:pt idx="0">
                  <c:v>0.22641036084992516</c:v>
                </c:pt>
                <c:pt idx="1">
                  <c:v>4.8540680263887062</c:v>
                </c:pt>
                <c:pt idx="2">
                  <c:v>4.580592619199229</c:v>
                </c:pt>
                <c:pt idx="3">
                  <c:v>4.7466486206477496</c:v>
                </c:pt>
                <c:pt idx="4">
                  <c:v>3.1455795228330019</c:v>
                </c:pt>
                <c:pt idx="5">
                  <c:v>2.7791935115711617</c:v>
                </c:pt>
                <c:pt idx="6">
                  <c:v>1.0009106193041357</c:v>
                </c:pt>
                <c:pt idx="7">
                  <c:v>0.39817718685065062</c:v>
                </c:pt>
                <c:pt idx="8">
                  <c:v>2.7098626911099615</c:v>
                </c:pt>
                <c:pt idx="9">
                  <c:v>3.8446144787675851</c:v>
                </c:pt>
                <c:pt idx="10">
                  <c:v>1.7273139283559424</c:v>
                </c:pt>
                <c:pt idx="11">
                  <c:v>2.1169821372994391E-2</c:v>
                </c:pt>
                <c:pt idx="12">
                  <c:v>2.1612537475559117</c:v>
                </c:pt>
                <c:pt idx="13">
                  <c:v>1.6310742300715386</c:v>
                </c:pt>
                <c:pt idx="14">
                  <c:v>0.10068285156509371</c:v>
                </c:pt>
                <c:pt idx="15">
                  <c:v>2.2644057611985491</c:v>
                </c:pt>
                <c:pt idx="16">
                  <c:v>1.0125630892580491</c:v>
                </c:pt>
                <c:pt idx="17">
                  <c:v>0.10202075491817619</c:v>
                </c:pt>
                <c:pt idx="18">
                  <c:v>2.2319391107292637</c:v>
                </c:pt>
                <c:pt idx="19">
                  <c:v>3.6464508654170293</c:v>
                </c:pt>
                <c:pt idx="20">
                  <c:v>4.2314165735345393</c:v>
                </c:pt>
                <c:pt idx="21">
                  <c:v>1.8607567631014899E-2</c:v>
                </c:pt>
                <c:pt idx="22">
                  <c:v>2.5912754732111161</c:v>
                </c:pt>
                <c:pt idx="23">
                  <c:v>1.3422915627227339</c:v>
                </c:pt>
                <c:pt idx="24">
                  <c:v>3.691310292628728</c:v>
                </c:pt>
                <c:pt idx="25">
                  <c:v>3.7972312171141831</c:v>
                </c:pt>
                <c:pt idx="26">
                  <c:v>2.1193197367249228</c:v>
                </c:pt>
                <c:pt idx="27">
                  <c:v>2.8646678378833732</c:v>
                </c:pt>
                <c:pt idx="28">
                  <c:v>0.81575707929567198</c:v>
                </c:pt>
                <c:pt idx="29">
                  <c:v>3.8780989365884881</c:v>
                </c:pt>
                <c:pt idx="30">
                  <c:v>0.96539470535239313</c:v>
                </c:pt>
                <c:pt idx="31">
                  <c:v>2.9890000066550746</c:v>
                </c:pt>
                <c:pt idx="32">
                  <c:v>1.9460361193861131</c:v>
                </c:pt>
                <c:pt idx="33">
                  <c:v>3.5410460122509231</c:v>
                </c:pt>
                <c:pt idx="34">
                  <c:v>0.64660455937205485</c:v>
                </c:pt>
                <c:pt idx="35">
                  <c:v>0.54115409806058112</c:v>
                </c:pt>
                <c:pt idx="36">
                  <c:v>3.8055333792433537</c:v>
                </c:pt>
                <c:pt idx="37">
                  <c:v>2.6102880848481131</c:v>
                </c:pt>
                <c:pt idx="38">
                  <c:v>0.61332689916450744</c:v>
                </c:pt>
                <c:pt idx="39">
                  <c:v>1.4519722039968159</c:v>
                </c:pt>
                <c:pt idx="40">
                  <c:v>4.2132694305865659</c:v>
                </c:pt>
                <c:pt idx="41">
                  <c:v>4.530226239825963E-2</c:v>
                </c:pt>
                <c:pt idx="42">
                  <c:v>4.9392552886209478</c:v>
                </c:pt>
                <c:pt idx="43">
                  <c:v>0.37230476798509771</c:v>
                </c:pt>
                <c:pt idx="44">
                  <c:v>2.9626263204548819</c:v>
                </c:pt>
                <c:pt idx="45">
                  <c:v>3.219604612084106</c:v>
                </c:pt>
                <c:pt idx="46">
                  <c:v>3.6486105925362033</c:v>
                </c:pt>
                <c:pt idx="47">
                  <c:v>0.38057358671321373</c:v>
                </c:pt>
                <c:pt idx="48">
                  <c:v>1.6981125407144038</c:v>
                </c:pt>
                <c:pt idx="49">
                  <c:v>2.8258139854001318</c:v>
                </c:pt>
                <c:pt idx="50">
                  <c:v>4.7548008046711852</c:v>
                </c:pt>
                <c:pt idx="51">
                  <c:v>1.7729511720835571</c:v>
                </c:pt>
                <c:pt idx="52">
                  <c:v>2.1224716191438247</c:v>
                </c:pt>
                <c:pt idx="53">
                  <c:v>1.4103475760760271</c:v>
                </c:pt>
                <c:pt idx="54">
                  <c:v>2.4787719755397477</c:v>
                </c:pt>
                <c:pt idx="55">
                  <c:v>4.5489196593963852</c:v>
                </c:pt>
                <c:pt idx="56">
                  <c:v>1.1737554953874541</c:v>
                </c:pt>
                <c:pt idx="57">
                  <c:v>2.511174830212707</c:v>
                </c:pt>
                <c:pt idx="58">
                  <c:v>1.7303747198591968</c:v>
                </c:pt>
                <c:pt idx="59">
                  <c:v>0.4471940154638232</c:v>
                </c:pt>
                <c:pt idx="60">
                  <c:v>2.8530906166490539</c:v>
                </c:pt>
                <c:pt idx="61">
                  <c:v>4.3674705382050529</c:v>
                </c:pt>
                <c:pt idx="62">
                  <c:v>1.8740014040443747</c:v>
                </c:pt>
                <c:pt idx="63">
                  <c:v>3.6328432903821337</c:v>
                </c:pt>
                <c:pt idx="64">
                  <c:v>0.15948631471751462</c:v>
                </c:pt>
                <c:pt idx="65">
                  <c:v>4.911095954842331</c:v>
                </c:pt>
                <c:pt idx="66">
                  <c:v>3.4480632883402618</c:v>
                </c:pt>
                <c:pt idx="67">
                  <c:v>0.13195544431181483</c:v>
                </c:pt>
                <c:pt idx="68">
                  <c:v>1.9834678721741801</c:v>
                </c:pt>
                <c:pt idx="69">
                  <c:v>1.3623879886491086</c:v>
                </c:pt>
                <c:pt idx="70">
                  <c:v>1.8305755986122314</c:v>
                </c:pt>
                <c:pt idx="71">
                  <c:v>2.0787506078749689</c:v>
                </c:pt>
                <c:pt idx="72">
                  <c:v>3.2133296074383089</c:v>
                </c:pt>
                <c:pt idx="73">
                  <c:v>4.6205460645137064</c:v>
                </c:pt>
                <c:pt idx="74">
                  <c:v>0.39661272410993542</c:v>
                </c:pt>
                <c:pt idx="75">
                  <c:v>2.0300690886687516</c:v>
                </c:pt>
                <c:pt idx="76">
                  <c:v>2.1800374515822165</c:v>
                </c:pt>
                <c:pt idx="77">
                  <c:v>3.0551418183075478</c:v>
                </c:pt>
                <c:pt idx="78">
                  <c:v>4.0968813324704518</c:v>
                </c:pt>
                <c:pt idx="79">
                  <c:v>0.16587162748060824</c:v>
                </c:pt>
                <c:pt idx="80">
                  <c:v>2.8496621985053308</c:v>
                </c:pt>
                <c:pt idx="81">
                  <c:v>2.5475471215487118</c:v>
                </c:pt>
                <c:pt idx="82">
                  <c:v>4.1378770486223573</c:v>
                </c:pt>
                <c:pt idx="83">
                  <c:v>0.77300613406724783</c:v>
                </c:pt>
                <c:pt idx="84">
                  <c:v>4.8434565771180411</c:v>
                </c:pt>
                <c:pt idx="85">
                  <c:v>1.3744289997457582</c:v>
                </c:pt>
                <c:pt idx="86">
                  <c:v>2.0515129307662465</c:v>
                </c:pt>
                <c:pt idx="87">
                  <c:v>3.6937377878392756</c:v>
                </c:pt>
                <c:pt idx="88">
                  <c:v>0.722204401882931</c:v>
                </c:pt>
                <c:pt idx="89">
                  <c:v>1.9076657339590746</c:v>
                </c:pt>
                <c:pt idx="90">
                  <c:v>1.2193822244013885</c:v>
                </c:pt>
                <c:pt idx="91">
                  <c:v>0.62600185820939458</c:v>
                </c:pt>
                <c:pt idx="92">
                  <c:v>0.33343182522473924</c:v>
                </c:pt>
                <c:pt idx="93">
                  <c:v>4.1657817954241452</c:v>
                </c:pt>
                <c:pt idx="94">
                  <c:v>1.4636074984727798</c:v>
                </c:pt>
                <c:pt idx="95">
                  <c:v>1.2108821295850665</c:v>
                </c:pt>
                <c:pt idx="96">
                  <c:v>3.8720476814821332</c:v>
                </c:pt>
                <c:pt idx="97">
                  <c:v>3.3762378347179811</c:v>
                </c:pt>
                <c:pt idx="98">
                  <c:v>2.9081221693512611</c:v>
                </c:pt>
                <c:pt idx="99">
                  <c:v>0.34602729070550342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5-49B2-BCB3-AAFADDB73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027424"/>
        <c:axId val="906543152"/>
      </c:scatterChart>
      <c:valAx>
        <c:axId val="86202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Total Lead 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543152"/>
        <c:crosses val="autoZero"/>
        <c:crossBetween val="midCat"/>
      </c:valAx>
      <c:valAx>
        <c:axId val="90654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Defect 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2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0</xdr:row>
      <xdr:rowOff>0</xdr:rowOff>
    </xdr:from>
    <xdr:to>
      <xdr:col>9</xdr:col>
      <xdr:colOff>228601</xdr:colOff>
      <xdr:row>13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A5821C-D560-29D5-3A3A-92D2E0B37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0</xdr:row>
      <xdr:rowOff>0</xdr:rowOff>
    </xdr:from>
    <xdr:to>
      <xdr:col>16</xdr:col>
      <xdr:colOff>323850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8E868-F48B-CDBE-F7DC-6006954CE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66675</xdr:colOff>
      <xdr:row>14</xdr:row>
      <xdr:rowOff>61912</xdr:rowOff>
    </xdr:from>
    <xdr:to>
      <xdr:col>9</xdr:col>
      <xdr:colOff>333375</xdr:colOff>
      <xdr:row>26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ADBCCE-9A38-692D-A811-E5A1E3A76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400050</xdr:colOff>
      <xdr:row>0</xdr:row>
      <xdr:rowOff>0</xdr:rowOff>
    </xdr:from>
    <xdr:to>
      <xdr:col>23</xdr:col>
      <xdr:colOff>304800</xdr:colOff>
      <xdr:row>14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096F91-5104-73AB-433D-AE77D35B6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409575</xdr:colOff>
      <xdr:row>14</xdr:row>
      <xdr:rowOff>47624</xdr:rowOff>
    </xdr:from>
    <xdr:to>
      <xdr:col>16</xdr:col>
      <xdr:colOff>238125</xdr:colOff>
      <xdr:row>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76153C-BE6C-4F8B-E36C-C5DCA6979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390524</xdr:colOff>
      <xdr:row>14</xdr:row>
      <xdr:rowOff>28574</xdr:rowOff>
    </xdr:from>
    <xdr:to>
      <xdr:col>23</xdr:col>
      <xdr:colOff>285749</xdr:colOff>
      <xdr:row>26</xdr:row>
      <xdr:rowOff>4761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80D541-B43D-F60F-8869-77D6507FD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12</xdr:row>
      <xdr:rowOff>38100</xdr:rowOff>
    </xdr:from>
    <xdr:to>
      <xdr:col>3</xdr:col>
      <xdr:colOff>1104900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06C7E-2151-0AE2-B1D6-E309C1B5B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130968</xdr:rowOff>
    </xdr:from>
    <xdr:to>
      <xdr:col>4</xdr:col>
      <xdr:colOff>35718</xdr:colOff>
      <xdr:row>20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737F1-1D16-41CE-8C99-E9B4725E4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130970</xdr:colOff>
      <xdr:row>7</xdr:row>
      <xdr:rowOff>107155</xdr:rowOff>
    </xdr:from>
    <xdr:to>
      <xdr:col>7</xdr:col>
      <xdr:colOff>821531</xdr:colOff>
      <xdr:row>20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677902-FF2E-45F3-8283-3B62DE68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35719</xdr:colOff>
      <xdr:row>7</xdr:row>
      <xdr:rowOff>107155</xdr:rowOff>
    </xdr:from>
    <xdr:to>
      <xdr:col>12</xdr:col>
      <xdr:colOff>107156</xdr:colOff>
      <xdr:row>20</xdr:row>
      <xdr:rowOff>59530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55CFDC-0A4E-4639-B9BC-280405430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71438</xdr:colOff>
      <xdr:row>20</xdr:row>
      <xdr:rowOff>95250</xdr:rowOff>
    </xdr:from>
    <xdr:to>
      <xdr:col>4</xdr:col>
      <xdr:colOff>107157</xdr:colOff>
      <xdr:row>32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11B1C2-D9A4-422D-B74F-0608D42DE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130969</xdr:colOff>
      <xdr:row>20</xdr:row>
      <xdr:rowOff>107155</xdr:rowOff>
    </xdr:from>
    <xdr:to>
      <xdr:col>7</xdr:col>
      <xdr:colOff>821531</xdr:colOff>
      <xdr:row>32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329A11-A643-44CF-BE37-3BB867716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47625</xdr:colOff>
      <xdr:row>20</xdr:row>
      <xdr:rowOff>107157</xdr:rowOff>
    </xdr:from>
    <xdr:to>
      <xdr:col>12</xdr:col>
      <xdr:colOff>119064</xdr:colOff>
      <xdr:row>32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B5F511-9326-49CD-850D-5C0187755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ia" refreshedDate="46309.358308101851" createdVersion="8" refreshedVersion="8" minRefreshableVersion="3" recordCount="101" xr:uid="{D08DE4D6-C74F-4253-B2C4-C776C49828DF}">
  <cacheSource type="worksheet">
    <worksheetSource ref="A1:AD1048576" sheet="Clean_Data"/>
  </cacheSource>
  <cacheFields count="30">
    <cacheField name="Product type" numFmtId="0">
      <sharedItems containsBlank="1" count="4">
        <s v="haircare"/>
        <s v="skincare"/>
        <s v="cosmetics"/>
        <m/>
      </sharedItems>
    </cacheField>
    <cacheField name="SKU" numFmtId="0">
      <sharedItems containsBlank="1"/>
    </cacheField>
    <cacheField name="Price" numFmtId="0">
      <sharedItems containsString="0" containsBlank="1" containsNumber="1" minValue="1.6999760138659377" maxValue="99.171328638624189"/>
    </cacheField>
    <cacheField name="Availability" numFmtId="0">
      <sharedItems containsString="0" containsBlank="1" containsNumber="1" containsInteger="1" minValue="1" maxValue="100"/>
    </cacheField>
    <cacheField name="Number of products sold" numFmtId="0">
      <sharedItems containsString="0" containsBlank="1" containsNumber="1" containsInteger="1" minValue="24" maxValue="996"/>
    </cacheField>
    <cacheField name="Revenue generated" numFmtId="0">
      <sharedItems containsString="0" containsBlank="1" containsNumber="1" minValue="1061.618523013288" maxValue="9866.465457979697"/>
    </cacheField>
    <cacheField name="Customer demographics" numFmtId="0">
      <sharedItems containsBlank="1"/>
    </cacheField>
    <cacheField name="Stock levels" numFmtId="0">
      <sharedItems containsString="0" containsBlank="1" containsNumber="1" containsInteger="1" minValue="0" maxValue="100"/>
    </cacheField>
    <cacheField name="Supplier Lead time" numFmtId="0">
      <sharedItems containsString="0" containsBlank="1" containsNumber="1" containsInteger="1" minValue="1" maxValue="30"/>
    </cacheField>
    <cacheField name="Order quantities" numFmtId="0">
      <sharedItems containsString="0" containsBlank="1" containsNumber="1" containsInteger="1" minValue="1" maxValue="96"/>
    </cacheField>
    <cacheField name="Shipping times" numFmtId="0">
      <sharedItems containsString="0" containsBlank="1" containsNumber="1" containsInteger="1" minValue="1" maxValue="10"/>
    </cacheField>
    <cacheField name="Shipping carriers" numFmtId="0">
      <sharedItems containsBlank="1"/>
    </cacheField>
    <cacheField name="Shipping costs" numFmtId="0">
      <sharedItems containsString="0" containsBlank="1" containsNumber="1" containsInteger="1" minValue="103" maxValue="1193"/>
    </cacheField>
    <cacheField name="Supplier name" numFmtId="0">
      <sharedItems containsBlank="1"/>
    </cacheField>
    <cacheField name="Location" numFmtId="0">
      <sharedItems containsBlank="1"/>
    </cacheField>
    <cacheField name="Production volumes" numFmtId="0">
      <sharedItems containsString="0" containsBlank="1" containsNumber="1" containsInteger="1" minValue="104" maxValue="985"/>
    </cacheField>
    <cacheField name="Manufacturing lead time" numFmtId="0">
      <sharedItems containsString="0" containsBlank="1" containsNumber="1" containsInteger="1" minValue="1" maxValue="30"/>
    </cacheField>
    <cacheField name="Manufacturing costs" numFmtId="0">
      <sharedItems containsString="0" containsBlank="1" containsNumber="1" minValue="1.0850685695870688" maxValue="99.466108603599125"/>
    </cacheField>
    <cacheField name="Inspection results" numFmtId="0">
      <sharedItems containsBlank="1"/>
    </cacheField>
    <cacheField name="Defect rates" numFmtId="0">
      <sharedItems containsString="0" containsBlank="1" containsNumber="1" minValue="1.8607567631014899E-2" maxValue="4.9392552886209478"/>
    </cacheField>
    <cacheField name="Transportation modes" numFmtId="0">
      <sharedItems containsBlank="1"/>
    </cacheField>
    <cacheField name="Routes" numFmtId="0">
      <sharedItems containsBlank="1"/>
    </cacheField>
    <cacheField name="Costs" numFmtId="0">
      <sharedItems containsString="0" containsBlank="1" containsNumber="1" minValue="103.91624796070495" maxValue="997.4134501331946"/>
    </cacheField>
    <cacheField name="Total Costs" numFmtId="0">
      <sharedItems containsString="0" containsBlank="1" containsNumber="1" minValue="337.03195469971223" maxValue="2141.8870631335931"/>
    </cacheField>
    <cacheField name="Estimated Profit" numFmtId="0">
      <sharedItems containsString="0" containsBlank="1" containsNumber="1" minValue="-130.85651284032474" maxValue="8925.1413247489272"/>
    </cacheField>
    <cacheField name="Inventory Efficiency" numFmtId="0">
      <sharedItems containsBlank="1" containsMixedTypes="1" containsNumber="1" minValue="0.25806451612903225" maxValue="227.5"/>
    </cacheField>
    <cacheField name="Revenue Per Unit" numFmtId="0">
      <sharedItems containsString="0" containsBlank="1" containsNumber="1" minValue="1.366235114099108" maxValue="347.38452237015429"/>
    </cacheField>
    <cacheField name="ShIpping cost per unit" numFmtId="0">
      <sharedItems containsString="0" containsBlank="1" containsNumber="1" minValue="0.1232583065380493" maxValue="18.75"/>
    </cacheField>
    <cacheField name="Total Lead Time" numFmtId="0">
      <sharedItems containsString="0" containsBlank="1" containsNumber="1" containsInteger="1" minValue="11" maxValue="63"/>
    </cacheField>
    <cacheField name="Field30" caption="Field3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ia" refreshedDate="46309.35830821759" createdVersion="8" refreshedVersion="8" minRefreshableVersion="3" recordCount="100" xr:uid="{61BF7CF1-8CFC-4600-9367-A409D8FDEB40}">
  <cacheSource type="worksheet">
    <worksheetSource name="SupplyChain4"/>
  </cacheSource>
  <cacheFields count="29">
    <cacheField name="Product type" numFmtId="0">
      <sharedItems count="3">
        <s v="haircare"/>
        <s v="skincare"/>
        <s v="cosmetics"/>
      </sharedItems>
    </cacheField>
    <cacheField name="SKU" numFmtId="0">
      <sharedItems/>
    </cacheField>
    <cacheField name="Price" numFmtId="0">
      <sharedItems containsSemiMixedTypes="0" containsString="0" containsNumber="1" minValue="1.6999760138659377" maxValue="99.171328638624189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24" maxValue="996"/>
    </cacheField>
    <cacheField name="Revenue generated" numFmtId="0">
      <sharedItems containsSemiMixedTypes="0" containsString="0" containsNumber="1" minValue="1061.618523013288" maxValue="9866.465457979697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Supplier Lead time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0">
      <sharedItems containsSemiMixedTypes="0" containsString="0" containsNumber="1" containsInteger="1" minValue="103" maxValue="1193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minValue="1.0850685695870688" maxValue="99.466108603599125"/>
    </cacheField>
    <cacheField name="Inspection results" numFmtId="0">
      <sharedItems/>
    </cacheField>
    <cacheField name="Defect rates" numFmtId="0">
      <sharedItems containsSemiMixedTypes="0" containsString="0" containsNumber="1" minValue="1.8607567631014899E-2" maxValue="4.9392552886209478"/>
    </cacheField>
    <cacheField name="Transportation modes" numFmtId="0">
      <sharedItems count="4">
        <s v="Road"/>
        <s v="Air"/>
        <s v="Rail"/>
        <s v="Sea"/>
      </sharedItems>
    </cacheField>
    <cacheField name="Routes" numFmtId="0">
      <sharedItems count="3">
        <s v="Route B"/>
        <s v="Route C"/>
        <s v="Route A"/>
      </sharedItems>
    </cacheField>
    <cacheField name="Costs" numFmtId="0">
      <sharedItems containsSemiMixedTypes="0" containsString="0" containsNumber="1" minValue="103.91624796070495" maxValue="997.4134501331946"/>
    </cacheField>
    <cacheField name="Total Costs" numFmtId="0">
      <sharedItems containsSemiMixedTypes="0" containsString="0" containsNumber="1" minValue="337.03195469971223" maxValue="2141.8870631335931"/>
    </cacheField>
    <cacheField name="Estimated Profit" numFmtId="0">
      <sharedItems containsSemiMixedTypes="0" containsString="0" containsNumber="1" minValue="-130.85651284032474" maxValue="8925.1413247489272"/>
    </cacheField>
    <cacheField name="Inventory Efficiency" numFmtId="0">
      <sharedItems containsMixedTypes="1" containsNumber="1" minValue="0.25806451612903225" maxValue="227.5"/>
    </cacheField>
    <cacheField name="Revenue Per Unit" numFmtId="0">
      <sharedItems containsSemiMixedTypes="0" containsString="0" containsNumber="1" minValue="1.366235114099108" maxValue="347.38452237015429"/>
    </cacheField>
    <cacheField name="ShIpping cost per unit" numFmtId="0">
      <sharedItems containsSemiMixedTypes="0" containsString="0" containsNumber="1" minValue="0.1232583065380493" maxValue="18.75"/>
    </cacheField>
    <cacheField name="Total Lead Time" numFmtId="0">
      <sharedItems containsSemiMixedTypes="0" containsString="0" containsNumber="1" containsInteger="1" minValue="11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s v="SKU0"/>
    <n v="69.808005542115765"/>
    <n v="55"/>
    <n v="802"/>
    <n v="8661.9967923923832"/>
    <s v="Non-binary"/>
    <n v="58"/>
    <n v="7"/>
    <n v="96"/>
    <n v="4"/>
    <s v="Carrier B"/>
    <n v="103"/>
    <s v="Supplier 3"/>
    <s v="Mumbai"/>
    <n v="215"/>
    <n v="29"/>
    <n v="46.279879240508322"/>
    <s v="Pending"/>
    <n v="0.22641036084992516"/>
    <s v="Road"/>
    <s v="Route B"/>
    <n v="187.75207545920392"/>
    <n v="337.03195469971223"/>
    <n v="8324.9648376926707"/>
    <n v="13.827586206896552"/>
    <n v="10.800494753606463"/>
    <n v="0.128428927680798"/>
    <n v="40"/>
    <m/>
  </r>
  <r>
    <x v="1"/>
    <s v="SKU1"/>
    <n v="14.843523275084339"/>
    <n v="95"/>
    <n v="736"/>
    <n v="7460.9000654458487"/>
    <s v="Female"/>
    <n v="53"/>
    <n v="30"/>
    <n v="37"/>
    <n v="2"/>
    <s v="Carrier A"/>
    <n v="938"/>
    <s v="Supplier 3"/>
    <s v="Mumbai"/>
    <n v="517"/>
    <n v="30"/>
    <n v="33.616768953730002"/>
    <s v="Pending"/>
    <n v="4.8540680263887062"/>
    <s v="Road"/>
    <s v="Route B"/>
    <n v="503.06557914966919"/>
    <n v="1474.6823481033994"/>
    <n v="5986.2177173424498"/>
    <n v="13.886792452830189"/>
    <n v="10.137092480225338"/>
    <n v="1.2744565217391304"/>
    <n v="62"/>
    <m/>
  </r>
  <r>
    <x v="0"/>
    <s v="SKU2"/>
    <n v="11.319683293090566"/>
    <n v="34"/>
    <n v="635"/>
    <n v="9577.7496258687297"/>
    <s v="Unknown"/>
    <n v="24"/>
    <n v="10"/>
    <n v="88"/>
    <n v="2"/>
    <s v="Carrier B"/>
    <n v="480"/>
    <s v="Supplier 1"/>
    <s v="Mumbai"/>
    <n v="971"/>
    <n v="27"/>
    <n v="30.688019348284204"/>
    <s v="Pending"/>
    <n v="4.580592619199229"/>
    <s v="Air"/>
    <s v="Route C"/>
    <n v="141.92028177151906"/>
    <n v="652.60830111980329"/>
    <n v="8925.1413247489272"/>
    <n v="26.458333333333332"/>
    <n v="15.08307027695863"/>
    <n v="0.75590551181102361"/>
    <n v="39"/>
    <m/>
  </r>
  <r>
    <x v="1"/>
    <s v="SKU3"/>
    <n v="61.163343016437736"/>
    <n v="68"/>
    <n v="83"/>
    <n v="7766.8364256852328"/>
    <s v="Non-binary"/>
    <n v="23"/>
    <n v="13"/>
    <n v="59"/>
    <n v="6"/>
    <s v="Carrier C"/>
    <n v="945"/>
    <s v="Supplier 5"/>
    <s v="Kolkata"/>
    <n v="937"/>
    <n v="18"/>
    <n v="35.624741397125028"/>
    <s v="Fail"/>
    <n v="4.7466486206477496"/>
    <s v="Rail"/>
    <s v="Route A"/>
    <n v="254.77615921928663"/>
    <n v="1235.4009006164117"/>
    <n v="6531.4355250688213"/>
    <n v="3.6086956521739131"/>
    <n v="93.576342478135331"/>
    <n v="11.385542168674698"/>
    <n v="37"/>
    <m/>
  </r>
  <r>
    <x v="1"/>
    <s v="SKU4"/>
    <n v="4.8054960363458932"/>
    <n v="26"/>
    <n v="871"/>
    <n v="2686.5051515674468"/>
    <s v="Non-binary"/>
    <n v="5"/>
    <n v="3"/>
    <n v="56"/>
    <n v="8"/>
    <s v="Carrier A"/>
    <n v="932"/>
    <s v="Supplier 1"/>
    <s v="Delhi"/>
    <n v="414"/>
    <n v="3"/>
    <n v="92.065160598712851"/>
    <s v="Fail"/>
    <n v="3.1455795228330019"/>
    <s v="Air"/>
    <s v="Route A"/>
    <n v="923.44063171192215"/>
    <n v="1947.5057923106351"/>
    <n v="738.99935925681166"/>
    <n v="174.2"/>
    <n v="3.0843916780338079"/>
    <n v="1.0700344431687716"/>
    <n v="14"/>
    <m/>
  </r>
  <r>
    <x v="0"/>
    <s v="SKU5"/>
    <n v="1.6999760138659377"/>
    <n v="87"/>
    <n v="147"/>
    <n v="2828.3487459757589"/>
    <s v="Non-binary"/>
    <n v="90"/>
    <n v="27"/>
    <n v="66"/>
    <n v="3"/>
    <s v="Carrier B"/>
    <n v="466"/>
    <s v="Supplier 4"/>
    <s v="Bangalore"/>
    <n v="104"/>
    <n v="17"/>
    <n v="56.766475557431797"/>
    <s v="Fail"/>
    <n v="2.7791935115711617"/>
    <s v="Road"/>
    <s v="Route A"/>
    <n v="235.46123673553751"/>
    <n v="758.22771229296939"/>
    <n v="2070.1210336827894"/>
    <n v="1.6333333333333333"/>
    <n v="19.240467659699039"/>
    <n v="3.1700680272108843"/>
    <n v="47"/>
    <m/>
  </r>
  <r>
    <x v="1"/>
    <s v="SKU6"/>
    <n v="4.0783328631079447"/>
    <n v="48"/>
    <n v="65"/>
    <n v="7823.4765595317367"/>
    <s v="Male"/>
    <n v="11"/>
    <n v="15"/>
    <n v="58"/>
    <n v="8"/>
    <s v="Carrier C"/>
    <n v="759"/>
    <s v="Supplier 3"/>
    <s v="Kolkata"/>
    <n v="314"/>
    <n v="24"/>
    <n v="1.0850685695870688"/>
    <s v="Pending"/>
    <n v="1.0009106193041357"/>
    <s v="Sea"/>
    <s v="Route A"/>
    <n v="134.36909686103172"/>
    <n v="894.45416543061879"/>
    <n v="6929.0223941011182"/>
    <n v="5.9090909090909092"/>
    <n v="120.3611778389498"/>
    <n v="11.676923076923076"/>
    <n v="47"/>
    <m/>
  </r>
  <r>
    <x v="2"/>
    <s v="SKU7"/>
    <n v="42.958384382460068"/>
    <n v="59"/>
    <n v="426"/>
    <n v="8496.1038130898378"/>
    <s v="Female"/>
    <n v="93"/>
    <n v="17"/>
    <n v="11"/>
    <n v="1"/>
    <s v="Carrier B"/>
    <n v="388"/>
    <s v="Supplier 4"/>
    <s v="Bangalore"/>
    <n v="564"/>
    <n v="1"/>
    <n v="99.466108603599125"/>
    <s v="Fail"/>
    <n v="0.39817718685065062"/>
    <s v="Road"/>
    <s v="Route C"/>
    <n v="802.05631181755859"/>
    <n v="1289.5224204211579"/>
    <n v="7206.5813926686797"/>
    <n v="4.580645161290323"/>
    <n v="19.943905664530135"/>
    <n v="0.91079812206572774"/>
    <n v="19"/>
    <m/>
  </r>
  <r>
    <x v="2"/>
    <s v="SKU8"/>
    <n v="68.717596748527328"/>
    <n v="78"/>
    <n v="150"/>
    <n v="7517.363210631127"/>
    <s v="Female"/>
    <n v="5"/>
    <n v="10"/>
    <n v="15"/>
    <n v="7"/>
    <s v="Carrier C"/>
    <n v="388"/>
    <s v="Supplier 4"/>
    <s v="Mumbai"/>
    <n v="769"/>
    <n v="8"/>
    <n v="11.423027139565695"/>
    <s v="Pending"/>
    <n v="2.7098626911099615"/>
    <s v="Sea"/>
    <s v="Route B"/>
    <n v="505.55713422546415"/>
    <n v="904.98016136502974"/>
    <n v="6612.3830492660973"/>
    <n v="30"/>
    <n v="50.115754737540847"/>
    <n v="2.5866666666666664"/>
    <n v="25"/>
    <m/>
  </r>
  <r>
    <x v="1"/>
    <s v="SKU9"/>
    <n v="64.015732941278543"/>
    <n v="35"/>
    <n v="980"/>
    <n v="4971.145987585558"/>
    <s v="Unknown"/>
    <n v="14"/>
    <n v="27"/>
    <n v="83"/>
    <n v="1"/>
    <s v="Carrier A"/>
    <n v="1098"/>
    <s v="Supplier 2"/>
    <s v="Chennai"/>
    <n v="963"/>
    <n v="23"/>
    <n v="47.95760163495158"/>
    <s v="Pending"/>
    <n v="3.8446144787675851"/>
    <s v="Rail"/>
    <s v="Route B"/>
    <n v="995.92946149864167"/>
    <n v="2141.8870631335931"/>
    <n v="2829.258924451965"/>
    <n v="70"/>
    <n v="5.0725979465158755"/>
    <n v="1.120408163265306"/>
    <n v="51"/>
    <m/>
  </r>
  <r>
    <x v="1"/>
    <s v="SKU10"/>
    <n v="15.707795681912138"/>
    <n v="11"/>
    <n v="996"/>
    <n v="2330.9658020919492"/>
    <s v="Non-binary"/>
    <n v="51"/>
    <n v="13"/>
    <n v="80"/>
    <n v="2"/>
    <s v="Carrier C"/>
    <n v="1074"/>
    <s v="Supplier 5"/>
    <s v="Kolkata"/>
    <n v="830"/>
    <n v="5"/>
    <n v="96.52735278531091"/>
    <s v="Pass"/>
    <n v="1.7273139283559424"/>
    <s v="Road"/>
    <s v="Route B"/>
    <n v="806.10317770292295"/>
    <n v="1976.6305304882339"/>
    <n v="354.33527160371523"/>
    <n v="19.529411764705884"/>
    <n v="2.3403271105340857"/>
    <n v="1.0783132530120483"/>
    <n v="20"/>
    <m/>
  </r>
  <r>
    <x v="1"/>
    <s v="SKU11"/>
    <n v="90.635459982288666"/>
    <n v="95"/>
    <n v="960"/>
    <n v="6099.944115581452"/>
    <s v="Female"/>
    <n v="46"/>
    <n v="23"/>
    <n v="60"/>
    <n v="1"/>
    <s v="Carrier A"/>
    <n v="972"/>
    <s v="Supplier 2"/>
    <s v="Kolkata"/>
    <n v="362"/>
    <n v="11"/>
    <n v="27.592363086663696"/>
    <s v="Pending"/>
    <n v="2.1169821372994391E-2"/>
    <s v="Air"/>
    <s v="Route A"/>
    <n v="126.72303340940725"/>
    <n v="1126.3153964960709"/>
    <n v="4973.6287190853809"/>
    <n v="20.869565217391305"/>
    <n v="6.3541084537306789"/>
    <n v="1.0125"/>
    <n v="35"/>
    <m/>
  </r>
  <r>
    <x v="0"/>
    <s v="SKU12"/>
    <n v="71.213389075360084"/>
    <n v="41"/>
    <n v="336"/>
    <n v="2873.7414460214413"/>
    <s v="Unknown"/>
    <n v="100"/>
    <n v="30"/>
    <n v="85"/>
    <n v="4"/>
    <s v="Carrier A"/>
    <n v="231"/>
    <s v="Supplier 4"/>
    <s v="Kolkata"/>
    <n v="563"/>
    <n v="3"/>
    <n v="32.321286213424031"/>
    <s v="Fail"/>
    <n v="2.1612537475559117"/>
    <s v="Road"/>
    <s v="Route B"/>
    <n v="402.96878907377061"/>
    <n v="666.29007528719467"/>
    <n v="2207.4513707342467"/>
    <n v="3.36"/>
    <n v="8.5528019226828604"/>
    <n v="0.6875"/>
    <n v="37"/>
    <m/>
  </r>
  <r>
    <x v="1"/>
    <s v="SKU13"/>
    <n v="16.160393317379977"/>
    <n v="5"/>
    <n v="249"/>
    <n v="4052.7384162378667"/>
    <s v="Male"/>
    <n v="80"/>
    <n v="8"/>
    <n v="48"/>
    <n v="9"/>
    <s v="Carrier A"/>
    <n v="904"/>
    <s v="Supplier 5"/>
    <s v="Bangalore"/>
    <n v="173"/>
    <n v="10"/>
    <n v="97.82905011017327"/>
    <s v="Pending"/>
    <n v="1.6310742300715386"/>
    <s v="Road"/>
    <s v="Route B"/>
    <n v="547.24100516096848"/>
    <n v="1549.0700552711419"/>
    <n v="2503.6683609667248"/>
    <n v="3.1124999999999998"/>
    <n v="16.276057896537615"/>
    <n v="3.6305220883534135"/>
    <n v="27"/>
    <m/>
  </r>
  <r>
    <x v="1"/>
    <s v="SKU14"/>
    <n v="99.171328638624189"/>
    <n v="26"/>
    <n v="562"/>
    <n v="8653.5709264698016"/>
    <s v="Non-binary"/>
    <n v="54"/>
    <n v="29"/>
    <n v="78"/>
    <n v="5"/>
    <s v="Carrier B"/>
    <n v="118"/>
    <s v="Supplier 1"/>
    <s v="Kolkata"/>
    <n v="558"/>
    <n v="14"/>
    <n v="5.7914366298629893"/>
    <s v="Pending"/>
    <n v="0.10068285156509371"/>
    <s v="Air"/>
    <s v="Route B"/>
    <n v="929.23528996088965"/>
    <n v="1053.0267265907526"/>
    <n v="7600.5441998790493"/>
    <n v="10.407407407407407"/>
    <n v="15.397813036423134"/>
    <n v="0.20996441281138789"/>
    <n v="48"/>
    <m/>
  </r>
  <r>
    <x v="1"/>
    <s v="SKU15"/>
    <n v="36.98924492862691"/>
    <n v="94"/>
    <n v="469"/>
    <n v="5442.0867853976733"/>
    <s v="Non-binary"/>
    <n v="9"/>
    <n v="8"/>
    <n v="69"/>
    <n v="7"/>
    <s v="Carrier B"/>
    <n v="998"/>
    <s v="Supplier 1"/>
    <s v="Bangalore"/>
    <n v="580"/>
    <n v="7"/>
    <n v="97.121281751474314"/>
    <s v="Pass"/>
    <n v="2.2644057611985491"/>
    <s v="Sea"/>
    <s v="Route B"/>
    <n v="127.86180000162541"/>
    <n v="1222.9830817530997"/>
    <n v="4219.1037036445741"/>
    <n v="52.111111111111114"/>
    <n v="11.603596557351116"/>
    <n v="2.1279317697228146"/>
    <n v="22"/>
    <m/>
  </r>
  <r>
    <x v="1"/>
    <s v="SKU16"/>
    <n v="7.5471721097912718"/>
    <n v="74"/>
    <n v="280"/>
    <n v="6453.7979681762854"/>
    <s v="Female"/>
    <n v="2"/>
    <n v="5"/>
    <n v="78"/>
    <n v="1"/>
    <s v="Carrier B"/>
    <n v="1193"/>
    <s v="Supplier 1"/>
    <s v="Bangalore"/>
    <n v="399"/>
    <n v="21"/>
    <n v="77.106342497850008"/>
    <s v="Pass"/>
    <n v="1.0125630892580491"/>
    <s v="Air"/>
    <s v="Route A"/>
    <n v="865.52577977124031"/>
    <n v="2135.6321222690904"/>
    <n v="4318.165845907195"/>
    <n v="140"/>
    <n v="23.049278457772449"/>
    <n v="4.2607142857142861"/>
    <n v="27"/>
    <m/>
  </r>
  <r>
    <x v="2"/>
    <s v="SKU17"/>
    <n v="81.462534369237019"/>
    <n v="82"/>
    <n v="126"/>
    <n v="2629.3964348452619"/>
    <s v="Female"/>
    <n v="45"/>
    <n v="17"/>
    <n v="85"/>
    <n v="9"/>
    <s v="Carrier C"/>
    <n v="461"/>
    <s v="Supplier 1"/>
    <s v="Chennai"/>
    <n v="453"/>
    <n v="16"/>
    <n v="47.679680368355335"/>
    <s v="Fail"/>
    <n v="0.10202075491817619"/>
    <s v="Air"/>
    <s v="Route C"/>
    <n v="670.93439079241034"/>
    <n v="1179.6140711607657"/>
    <n v="1449.7823636844962"/>
    <n v="2.8"/>
    <n v="20.868225673375093"/>
    <n v="3.6587301587301586"/>
    <n v="42"/>
    <m/>
  </r>
  <r>
    <x v="0"/>
    <s v="SKU18"/>
    <n v="36.443627770460935"/>
    <n v="23"/>
    <n v="620"/>
    <n v="9364.6735050761727"/>
    <s v="Unknown"/>
    <n v="10"/>
    <n v="10"/>
    <n v="46"/>
    <n v="8"/>
    <s v="Carrier C"/>
    <n v="310"/>
    <s v="Supplier 2"/>
    <s v="Kolkata"/>
    <n v="374"/>
    <n v="17"/>
    <n v="27.10798085484392"/>
    <s v="Pending"/>
    <n v="2.2319391107292637"/>
    <s v="Sea"/>
    <s v="Route A"/>
    <n v="593.48025872065182"/>
    <n v="930.58823957549578"/>
    <n v="8434.0852655006765"/>
    <n v="62"/>
    <n v="15.104312104961569"/>
    <n v="0.5"/>
    <n v="35"/>
    <m/>
  </r>
  <r>
    <x v="1"/>
    <s v="SKU19"/>
    <n v="51.12387008796474"/>
    <n v="100"/>
    <n v="187"/>
    <n v="2553.4955849912149"/>
    <s v="Unknown"/>
    <n v="48"/>
    <n v="11"/>
    <n v="94"/>
    <n v="3"/>
    <s v="Carrier A"/>
    <n v="869"/>
    <s v="Supplier 4"/>
    <s v="Chennai"/>
    <n v="694"/>
    <n v="16"/>
    <n v="82.373320587990207"/>
    <s v="Fail"/>
    <n v="3.6464508654170293"/>
    <s v="Road"/>
    <s v="Route C"/>
    <n v="477.30763109090344"/>
    <n v="1428.6809516788937"/>
    <n v="1124.8146333123211"/>
    <n v="3.8958333333333335"/>
    <n v="13.655056604231095"/>
    <n v="4.6470588235294121"/>
    <n v="30"/>
    <m/>
  </r>
  <r>
    <x v="1"/>
    <s v="SKU20"/>
    <n v="96.341072439963384"/>
    <n v="22"/>
    <n v="320"/>
    <n v="8128.0276968511916"/>
    <s v="Unknown"/>
    <n v="27"/>
    <n v="12"/>
    <n v="68"/>
    <n v="6"/>
    <s v="Carrier A"/>
    <n v="802"/>
    <s v="Supplier 1"/>
    <s v="Chennai"/>
    <n v="309"/>
    <n v="6"/>
    <n v="65.686259608488626"/>
    <s v="Pass"/>
    <n v="4.2314165735345393"/>
    <s v="Air"/>
    <s v="Route B"/>
    <n v="493.87121531620585"/>
    <n v="1361.5574749246946"/>
    <n v="6766.4702219264973"/>
    <n v="11.851851851851851"/>
    <n v="25.400086552659975"/>
    <n v="2.5062500000000001"/>
    <n v="24"/>
    <m/>
  </r>
  <r>
    <x v="2"/>
    <s v="SKU21"/>
    <n v="84.893868984950828"/>
    <n v="60"/>
    <n v="601"/>
    <n v="7087.0526963574366"/>
    <s v="Unknown"/>
    <n v="69"/>
    <n v="25"/>
    <n v="7"/>
    <n v="6"/>
    <s v="Carrier B"/>
    <n v="257"/>
    <s v="Supplier 5"/>
    <s v="Chennai"/>
    <n v="791"/>
    <n v="4"/>
    <n v="61.735728954160933"/>
    <s v="Pending"/>
    <n v="1.8607567631014899E-2"/>
    <s v="Air"/>
    <s v="Route C"/>
    <n v="523.36091472015801"/>
    <n v="842.0966436743189"/>
    <n v="6244.9560526831174"/>
    <n v="8.7101449275362324"/>
    <n v="11.79210099227527"/>
    <n v="0.42762063227953412"/>
    <n v="35"/>
    <m/>
  </r>
  <r>
    <x v="0"/>
    <s v="SKU22"/>
    <n v="27.679780886501959"/>
    <n v="55"/>
    <n v="884"/>
    <n v="2390.8078665561734"/>
    <s v="Unknown"/>
    <n v="71"/>
    <n v="1"/>
    <n v="63"/>
    <n v="10"/>
    <s v="Carrier A"/>
    <n v="190"/>
    <s v="Supplier 4"/>
    <s v="Kolkata"/>
    <n v="780"/>
    <n v="28"/>
    <n v="50.120839612977349"/>
    <s v="Fail"/>
    <n v="2.5912754732111161"/>
    <s v="Rail"/>
    <s v="Route C"/>
    <n v="205.57199582694707"/>
    <n v="445.69283543992441"/>
    <n v="1945.1150311162489"/>
    <n v="12.450704225352112"/>
    <n v="2.7045337856970288"/>
    <n v="0.21493212669683259"/>
    <n v="39"/>
    <m/>
  </r>
  <r>
    <x v="2"/>
    <s v="SKU23"/>
    <n v="4.3243411858641636"/>
    <n v="30"/>
    <n v="391"/>
    <n v="8858.367571011484"/>
    <s v="Unknown"/>
    <n v="84"/>
    <n v="5"/>
    <n v="29"/>
    <n v="7"/>
    <s v="Carrier A"/>
    <n v="959"/>
    <s v="Supplier 5"/>
    <s v="Kolkata"/>
    <n v="568"/>
    <n v="29"/>
    <n v="98.609957242703871"/>
    <s v="Pending"/>
    <n v="1.3422915627227339"/>
    <s v="Rail"/>
    <s v="Route A"/>
    <n v="196.32944611241268"/>
    <n v="1253.9394033551164"/>
    <n v="7604.4281676563678"/>
    <n v="4.6547619047619051"/>
    <n v="22.655671537113768"/>
    <n v="2.452685421994885"/>
    <n v="41"/>
    <m/>
  </r>
  <r>
    <x v="0"/>
    <s v="SKU24"/>
    <n v="4.1563083593111081"/>
    <n v="32"/>
    <n v="209"/>
    <n v="9049.0778609398967"/>
    <s v="Male"/>
    <n v="4"/>
    <n v="26"/>
    <n v="2"/>
    <n v="8"/>
    <s v="Carrier C"/>
    <n v="407"/>
    <s v="Supplier 2"/>
    <s v="Bangalore"/>
    <n v="447"/>
    <n v="3"/>
    <n v="40.382359702924816"/>
    <s v="Pending"/>
    <n v="3.691310292628728"/>
    <s v="Air"/>
    <s v="Route A"/>
    <n v="758.72477260293829"/>
    <n v="1206.1071323058629"/>
    <n v="7842.9707286340335"/>
    <n v="52.25"/>
    <n v="43.29702325808563"/>
    <n v="1.9473684210526316"/>
    <n v="37"/>
    <m/>
  </r>
  <r>
    <x v="0"/>
    <s v="SKU25"/>
    <n v="39.629343985092625"/>
    <n v="73"/>
    <n v="142"/>
    <n v="2174.777054350654"/>
    <s v="Male"/>
    <n v="82"/>
    <n v="11"/>
    <n v="52"/>
    <n v="3"/>
    <s v="Carrier C"/>
    <n v="852"/>
    <s v="Supplier 4"/>
    <s v="Kolkata"/>
    <n v="934"/>
    <n v="23"/>
    <n v="78.280383118415386"/>
    <s v="Pending"/>
    <n v="3.7972312171141831"/>
    <s v="Road"/>
    <s v="Route B"/>
    <n v="458.53594573920907"/>
    <n v="1388.8163288576245"/>
    <n v="785.96072549302949"/>
    <n v="1.7317073170731707"/>
    <n v="15.315331368666577"/>
    <n v="6"/>
    <n v="37"/>
    <m/>
  </r>
  <r>
    <x v="0"/>
    <s v="SKU26"/>
    <n v="97.44694661789282"/>
    <n v="9"/>
    <n v="353"/>
    <n v="3716.4933258940368"/>
    <s v="Male"/>
    <n v="59"/>
    <n v="16"/>
    <n v="48"/>
    <n v="4"/>
    <s v="Carrier B"/>
    <n v="321"/>
    <s v="Supplier 2"/>
    <s v="Bangalore"/>
    <n v="171"/>
    <n v="4"/>
    <n v="15.972229757181761"/>
    <s v="Pass"/>
    <n v="2.1193197367249228"/>
    <s v="Rail"/>
    <s v="Route A"/>
    <n v="617.8669164583772"/>
    <n v="954.83914621555891"/>
    <n v="2761.6541796784777"/>
    <n v="5.9830508474576272"/>
    <n v="10.528309705082258"/>
    <n v="0.90934844192634556"/>
    <n v="24"/>
    <m/>
  </r>
  <r>
    <x v="2"/>
    <s v="SKU27"/>
    <n v="92.557360812402024"/>
    <n v="42"/>
    <n v="352"/>
    <n v="2686.4572235759833"/>
    <s v="Unknown"/>
    <n v="47"/>
    <n v="9"/>
    <n v="62"/>
    <n v="8"/>
    <s v="Carrier C"/>
    <n v="141"/>
    <s v="Supplier 5"/>
    <s v="Mumbai"/>
    <n v="291"/>
    <n v="4"/>
    <n v="10.528245070042162"/>
    <s v="Fail"/>
    <n v="2.8646678378833732"/>
    <s v="Sea"/>
    <s v="Route B"/>
    <n v="762.45918215568372"/>
    <n v="913.98742722572592"/>
    <n v="1772.4697963502574"/>
    <n v="7.4893617021276597"/>
    <n v="7.6319807487954074"/>
    <n v="0.40056818181818182"/>
    <n v="21"/>
    <m/>
  </r>
  <r>
    <x v="2"/>
    <s v="SKU28"/>
    <n v="2.3972747055971411"/>
    <n v="12"/>
    <n v="394"/>
    <n v="6117.3246150839923"/>
    <s v="Female"/>
    <n v="48"/>
    <n v="15"/>
    <n v="24"/>
    <n v="4"/>
    <s v="Carrier B"/>
    <n v="598"/>
    <s v="Supplier 1"/>
    <s v="Mumbai"/>
    <n v="171"/>
    <n v="7"/>
    <n v="59.429381810691567"/>
    <s v="Fail"/>
    <n v="0.81575707929567198"/>
    <s v="Air"/>
    <s v="Route A"/>
    <n v="123.43702751182708"/>
    <n v="780.86640932251862"/>
    <n v="5336.4582057614734"/>
    <n v="8.2083333333333339"/>
    <n v="15.526204606812163"/>
    <n v="1.5177664974619289"/>
    <n v="26"/>
    <m/>
  </r>
  <r>
    <x v="2"/>
    <s v="SKU29"/>
    <n v="63.447559185207332"/>
    <n v="3"/>
    <n v="253"/>
    <n v="8318.9031946171781"/>
    <s v="Female"/>
    <n v="45"/>
    <n v="5"/>
    <n v="67"/>
    <n v="7"/>
    <s v="Carrier B"/>
    <n v="587"/>
    <s v="Supplier 1"/>
    <s v="Kolkata"/>
    <n v="329"/>
    <n v="7"/>
    <n v="39.292875586065747"/>
    <s v="Pass"/>
    <n v="3.8780989365884881"/>
    <s v="Road"/>
    <s v="Route B"/>
    <n v="764.93537594070813"/>
    <n v="1391.2282515267739"/>
    <n v="6927.6749430904038"/>
    <n v="5.6222222222222218"/>
    <n v="32.881040294929555"/>
    <n v="2.3201581027667983"/>
    <n v="19"/>
    <m/>
  </r>
  <r>
    <x v="0"/>
    <s v="SKU30"/>
    <n v="8.0228592105263932"/>
    <n v="10"/>
    <n v="327"/>
    <n v="2766.3423668660889"/>
    <s v="Male"/>
    <n v="60"/>
    <n v="26"/>
    <n v="35"/>
    <n v="7"/>
    <s v="Carrier B"/>
    <n v="929"/>
    <s v="Supplier 4"/>
    <s v="Kolkata"/>
    <n v="806"/>
    <n v="30"/>
    <n v="51.634893400109334"/>
    <s v="Pending"/>
    <n v="0.96539470535239313"/>
    <s v="Road"/>
    <s v="Route C"/>
    <n v="880.08098824716103"/>
    <n v="1860.7158816472704"/>
    <n v="905.62648521881852"/>
    <n v="5.45"/>
    <n v="8.4597625898045532"/>
    <n v="2.8409785932721712"/>
    <n v="63"/>
    <m/>
  </r>
  <r>
    <x v="1"/>
    <s v="SKU31"/>
    <n v="50.847393051718697"/>
    <n v="28"/>
    <n v="168"/>
    <n v="9655.1351027193978"/>
    <s v="Male"/>
    <n v="6"/>
    <n v="17"/>
    <n v="44"/>
    <n v="4"/>
    <s v="Carrier B"/>
    <n v="665"/>
    <s v="Supplier 3"/>
    <s v="Chennai"/>
    <n v="461"/>
    <n v="8"/>
    <n v="60.25114566159808"/>
    <s v="Pending"/>
    <n v="2.9890000066550746"/>
    <s v="Rail"/>
    <s v="Route C"/>
    <n v="609.37920661842668"/>
    <n v="1334.6303522800247"/>
    <n v="8320.5047504393733"/>
    <n v="28"/>
    <n v="57.471042278091652"/>
    <n v="3.9583333333333335"/>
    <n v="29"/>
    <m/>
  </r>
  <r>
    <x v="1"/>
    <s v="SKU32"/>
    <n v="79.209936015656723"/>
    <n v="43"/>
    <n v="781"/>
    <n v="9571.5504873278187"/>
    <s v="Unknown"/>
    <n v="89"/>
    <n v="13"/>
    <n v="64"/>
    <n v="4"/>
    <s v="Carrier C"/>
    <n v="660"/>
    <s v="Supplier 3"/>
    <s v="Kolkata"/>
    <n v="737"/>
    <n v="7"/>
    <n v="29.692467153749774"/>
    <s v="Pass"/>
    <n v="1.9460361193861131"/>
    <s v="Road"/>
    <s v="Route A"/>
    <n v="761.17390951487755"/>
    <n v="1450.8663766686273"/>
    <n v="8120.684110659191"/>
    <n v="8.7752808988764048"/>
    <n v="12.255506385823072"/>
    <n v="0.84507042253521125"/>
    <n v="24"/>
    <m/>
  </r>
  <r>
    <x v="2"/>
    <s v="SKU33"/>
    <n v="64.795435000155607"/>
    <n v="63"/>
    <n v="616"/>
    <n v="5149.9983504080365"/>
    <s v="Non-binary"/>
    <n v="4"/>
    <n v="17"/>
    <n v="95"/>
    <n v="9"/>
    <s v="Carrier C"/>
    <n v="1097"/>
    <s v="Supplier 5"/>
    <s v="Chennai"/>
    <n v="251"/>
    <n v="23"/>
    <n v="23.853427512896133"/>
    <s v="Fail"/>
    <n v="3.5410460122509231"/>
    <s v="Sea"/>
    <s v="Route A"/>
    <n v="371.25529551987103"/>
    <n v="1492.1087230327671"/>
    <n v="3657.8896273752694"/>
    <n v="154"/>
    <n v="8.3603869324805782"/>
    <n v="1.7808441558441559"/>
    <n v="49"/>
    <m/>
  </r>
  <r>
    <x v="1"/>
    <s v="SKU34"/>
    <n v="37.467592329842461"/>
    <n v="96"/>
    <n v="602"/>
    <n v="9061.7108955077238"/>
    <s v="Unknown"/>
    <n v="24"/>
    <n v="26"/>
    <n v="21"/>
    <n v="7"/>
    <s v="Carrier A"/>
    <n v="436"/>
    <s v="Supplier 1"/>
    <s v="Chennai"/>
    <n v="452"/>
    <n v="10"/>
    <n v="10.754272815029333"/>
    <s v="Pass"/>
    <n v="0.64660455937205485"/>
    <s v="Road"/>
    <s v="Route B"/>
    <n v="510.3580004335235"/>
    <n v="957.11227324855292"/>
    <n v="8104.598622259171"/>
    <n v="25.083333333333332"/>
    <n v="15.05267590615901"/>
    <n v="0.72425249169435213"/>
    <n v="43"/>
    <m/>
  </r>
  <r>
    <x v="2"/>
    <s v="SKU35"/>
    <n v="84.957786816350435"/>
    <n v="11"/>
    <n v="449"/>
    <n v="6541.3293448024651"/>
    <s v="Female"/>
    <n v="42"/>
    <n v="27"/>
    <n v="85"/>
    <n v="8"/>
    <s v="Carrier C"/>
    <n v="191"/>
    <s v="Supplier 1"/>
    <s v="Delhi"/>
    <n v="367"/>
    <n v="2"/>
    <n v="58.004787044743765"/>
    <s v="Pass"/>
    <n v="0.54115409806058112"/>
    <s v="Sea"/>
    <s v="Route C"/>
    <n v="553.42047123035582"/>
    <n v="802.42525827509962"/>
    <n v="5738.9040865273655"/>
    <n v="10.69047619047619"/>
    <n v="14.568662237867406"/>
    <n v="0.42538975501113585"/>
    <n v="37"/>
    <m/>
  </r>
  <r>
    <x v="1"/>
    <s v="SKU36"/>
    <n v="9.8130025787540518"/>
    <n v="34"/>
    <n v="963"/>
    <n v="7573.4024578487333"/>
    <s v="Female"/>
    <n v="18"/>
    <n v="23"/>
    <n v="28"/>
    <n v="3"/>
    <s v="Carrier B"/>
    <n v="738"/>
    <s v="Supplier 2"/>
    <s v="Delhi"/>
    <n v="671"/>
    <n v="19"/>
    <n v="45.531364237162144"/>
    <s v="Fail"/>
    <n v="3.8055333792433537"/>
    <s v="Air"/>
    <s v="Route C"/>
    <n v="403.8089742481805"/>
    <n v="1187.3403384853425"/>
    <n v="6386.0621193633906"/>
    <n v="53.5"/>
    <n v="7.8643846914317068"/>
    <n v="0.76635514018691586"/>
    <n v="45"/>
    <m/>
  </r>
  <r>
    <x v="1"/>
    <s v="SKU37"/>
    <n v="23.399844752614349"/>
    <n v="5"/>
    <n v="963"/>
    <n v="2438.3399304700288"/>
    <s v="Female"/>
    <n v="25"/>
    <n v="8"/>
    <n v="21"/>
    <n v="9"/>
    <s v="Carrier A"/>
    <n v="858"/>
    <s v="Supplier 3"/>
    <s v="Kolkata"/>
    <n v="867"/>
    <n v="15"/>
    <n v="34.343277465075381"/>
    <s v="Pending"/>
    <n v="2.6102880848481131"/>
    <s v="Sea"/>
    <s v="Route A"/>
    <n v="183.93296804359437"/>
    <n v="1076.2762455086697"/>
    <n v="1362.0636849613591"/>
    <n v="38.520000000000003"/>
    <n v="2.5320248499169562"/>
    <n v="0.8909657320872274"/>
    <n v="32"/>
    <m/>
  </r>
  <r>
    <x v="2"/>
    <s v="SKU38"/>
    <n v="52.075930682707799"/>
    <n v="75"/>
    <n v="705"/>
    <n v="9692.3180402184316"/>
    <s v="Non-binary"/>
    <n v="69"/>
    <n v="1"/>
    <n v="88"/>
    <n v="5"/>
    <s v="Carrier B"/>
    <n v="1120"/>
    <s v="Supplier 5"/>
    <s v="Mumbai"/>
    <n v="841"/>
    <n v="12"/>
    <n v="5.9306936455283177"/>
    <s v="Pending"/>
    <n v="0.61332689916450744"/>
    <s v="Air"/>
    <s v="Route B"/>
    <n v="339.67286994860615"/>
    <n v="1465.6035635941344"/>
    <n v="8226.7144766242964"/>
    <n v="10.217391304347826"/>
    <n v="13.747968851373662"/>
    <n v="1.5886524822695036"/>
    <n v="18"/>
    <m/>
  </r>
  <r>
    <x v="1"/>
    <s v="SKU39"/>
    <n v="19.127477265823256"/>
    <n v="26"/>
    <n v="176"/>
    <n v="1912.4656631007608"/>
    <s v="Female"/>
    <n v="78"/>
    <n v="29"/>
    <n v="34"/>
    <n v="3"/>
    <s v="Carrier A"/>
    <n v="166"/>
    <s v="Supplier 2"/>
    <s v="Kolkata"/>
    <n v="791"/>
    <n v="6"/>
    <n v="9.0058074287816421"/>
    <s v="Fail"/>
    <n v="1.4519722039968159"/>
    <s v="Air"/>
    <s v="Route B"/>
    <n v="653.67299455203317"/>
    <n v="828.6788019808148"/>
    <n v="1083.786861119946"/>
    <n v="2.2564102564102564"/>
    <n v="10.866282176708868"/>
    <n v="0.94318181818181823"/>
    <n v="38"/>
    <m/>
  </r>
  <r>
    <x v="1"/>
    <s v="SKU40"/>
    <n v="80.541424170940331"/>
    <n v="97"/>
    <n v="933"/>
    <n v="5724.9593504562654"/>
    <s v="Female"/>
    <n v="90"/>
    <n v="20"/>
    <n v="39"/>
    <n v="8"/>
    <s v="Carrier C"/>
    <n v="115"/>
    <s v="Supplier 1"/>
    <s v="Kolkata"/>
    <n v="793"/>
    <n v="1"/>
    <n v="88.179407104217461"/>
    <s v="Pending"/>
    <n v="4.2132694305865659"/>
    <s v="Road"/>
    <s v="Route A"/>
    <n v="529.80872398069187"/>
    <n v="732.98813108490936"/>
    <n v="4991.9712193713558"/>
    <n v="10.366666666666667"/>
    <n v="6.1360764742296521"/>
    <n v="0.1232583065380493"/>
    <n v="29"/>
    <m/>
  </r>
  <r>
    <x v="1"/>
    <s v="SKU41"/>
    <n v="99.113291615317166"/>
    <n v="35"/>
    <n v="556"/>
    <n v="5521.2052590109715"/>
    <s v="Female"/>
    <n v="64"/>
    <n v="19"/>
    <n v="38"/>
    <n v="8"/>
    <s v="Carrier B"/>
    <n v="234"/>
    <s v="Supplier 4"/>
    <s v="Chennai"/>
    <n v="892"/>
    <n v="7"/>
    <n v="95.332064548772493"/>
    <s v="Fail"/>
    <n v="4.530226239825963E-2"/>
    <s v="Sea"/>
    <s v="Route A"/>
    <n v="275.52437113130981"/>
    <n v="604.85643568008231"/>
    <n v="4916.348823330889"/>
    <n v="8.6875"/>
    <n v="9.9302252859909554"/>
    <n v="0.42086330935251798"/>
    <n v="34"/>
    <m/>
  </r>
  <r>
    <x v="1"/>
    <s v="SKU42"/>
    <n v="46.529167614516773"/>
    <n v="98"/>
    <n v="155"/>
    <n v="1839.6094258567639"/>
    <s v="Female"/>
    <n v="22"/>
    <n v="27"/>
    <n v="57"/>
    <n v="4"/>
    <s v="Carrier C"/>
    <n v="786"/>
    <s v="Supplier 5"/>
    <s v="Bangalore"/>
    <n v="179"/>
    <n v="7"/>
    <n v="96.422820639571867"/>
    <s v="Fail"/>
    <n v="4.9392552886209478"/>
    <s v="Road"/>
    <s v="Route A"/>
    <n v="635.65712050199193"/>
    <n v="1518.0799411415637"/>
    <n v="321.52948471520017"/>
    <n v="7.0454545454545459"/>
    <n v="11.868447908753316"/>
    <n v="5.0709677419354842"/>
    <n v="38"/>
    <m/>
  </r>
  <r>
    <x v="0"/>
    <s v="SKU43"/>
    <n v="11.743271776309239"/>
    <n v="6"/>
    <n v="598"/>
    <n v="5737.425599119023"/>
    <s v="Unknown"/>
    <n v="36"/>
    <n v="29"/>
    <n v="85"/>
    <n v="9"/>
    <s v="Carrier B"/>
    <n v="685"/>
    <s v="Supplier 5"/>
    <s v="Mumbai"/>
    <n v="206"/>
    <n v="23"/>
    <n v="26.27736595733241"/>
    <s v="Pending"/>
    <n v="0.37230476798509771"/>
    <s v="Air"/>
    <s v="Route A"/>
    <n v="716.04411975934067"/>
    <n v="1427.3214857166731"/>
    <n v="4310.1041134023499"/>
    <n v="16.611111111111111"/>
    <n v="9.5943571891622454"/>
    <n v="1.1454849498327759"/>
    <n v="61"/>
    <m/>
  </r>
  <r>
    <x v="2"/>
    <s v="SKU44"/>
    <n v="51.35579091311039"/>
    <n v="34"/>
    <n v="919"/>
    <n v="7152.2860494355145"/>
    <s v="Female"/>
    <n v="13"/>
    <n v="19"/>
    <n v="72"/>
    <n v="6"/>
    <s v="Carrier C"/>
    <n v="537"/>
    <s v="Supplier 2"/>
    <s v="Delhi"/>
    <n v="834"/>
    <n v="18"/>
    <n v="22.554106620887744"/>
    <s v="Fail"/>
    <n v="2.9626263204548819"/>
    <s v="Rail"/>
    <s v="Route A"/>
    <n v="610.45326961922774"/>
    <n v="1170.0073762401155"/>
    <n v="5982.2786731953993"/>
    <n v="70.692307692307693"/>
    <n v="7.7826834052617135"/>
    <n v="0.58433079434167579"/>
    <n v="43"/>
    <m/>
  </r>
  <r>
    <x v="0"/>
    <s v="SKU45"/>
    <n v="33.78413803306551"/>
    <n v="1"/>
    <n v="24"/>
    <n v="5267.9568075105208"/>
    <s v="Male"/>
    <n v="93"/>
    <n v="7"/>
    <n v="52"/>
    <n v="6"/>
    <s v="Carrier B"/>
    <n v="326"/>
    <s v="Supplier 2"/>
    <s v="Chennai"/>
    <n v="794"/>
    <n v="25"/>
    <n v="66.312544439991655"/>
    <s v="Pass"/>
    <n v="3.219604612084106"/>
    <s v="Rail"/>
    <s v="Route A"/>
    <n v="495.30569702847396"/>
    <n v="887.61824146846561"/>
    <n v="4380.3385660420554"/>
    <n v="0.25806451612903225"/>
    <n v="219.49820031293837"/>
    <n v="13.583333333333334"/>
    <n v="38"/>
    <m/>
  </r>
  <r>
    <x v="0"/>
    <s v="SKU46"/>
    <n v="27.082207199888899"/>
    <n v="75"/>
    <n v="859"/>
    <n v="2556.7673606335957"/>
    <s v="Non-binary"/>
    <n v="92"/>
    <n v="29"/>
    <n v="6"/>
    <n v="8"/>
    <s v="Carrier B"/>
    <n v="1068"/>
    <s v="Supplier 3"/>
    <s v="Chennai"/>
    <n v="870"/>
    <n v="23"/>
    <n v="77.32235321105162"/>
    <s v="Pending"/>
    <n v="3.6486105925362033"/>
    <s v="Road"/>
    <s v="Route B"/>
    <n v="380.43593711196428"/>
    <n v="1525.7582903230159"/>
    <n v="1031.0090703105798"/>
    <n v="9.3369565217391308"/>
    <n v="2.976446287117108"/>
    <n v="1.2433061699650756"/>
    <n v="60"/>
    <m/>
  </r>
  <r>
    <x v="1"/>
    <s v="SKU47"/>
    <n v="95.712135880936088"/>
    <n v="93"/>
    <n v="910"/>
    <n v="7089.4742499341864"/>
    <s v="Male"/>
    <n v="4"/>
    <n v="15"/>
    <n v="51"/>
    <n v="9"/>
    <s v="Carrier B"/>
    <n v="712"/>
    <s v="Supplier 1"/>
    <s v="Kolkata"/>
    <n v="964"/>
    <n v="20"/>
    <n v="19.712992911293647"/>
    <s v="Pending"/>
    <n v="0.38057358671321373"/>
    <s v="Rail"/>
    <s v="Route A"/>
    <n v="581.60235505058677"/>
    <n v="1313.3153479618804"/>
    <n v="5776.158901972306"/>
    <n v="227.5"/>
    <n v="7.790631043883721"/>
    <n v="0.78241758241758241"/>
    <n v="44"/>
    <m/>
  </r>
  <r>
    <x v="0"/>
    <s v="SKU48"/>
    <n v="76.035544426891718"/>
    <n v="28"/>
    <n v="29"/>
    <n v="7397.0710045871801"/>
    <s v="Non-binary"/>
    <n v="30"/>
    <n v="16"/>
    <n v="9"/>
    <n v="3"/>
    <s v="Carrier C"/>
    <n v="464"/>
    <s v="Supplier 2"/>
    <s v="Mumbai"/>
    <n v="109"/>
    <n v="18"/>
    <n v="23.126363582464776"/>
    <s v="Fail"/>
    <n v="1.6981125407144038"/>
    <s v="Rail"/>
    <s v="Route B"/>
    <n v="768.65191395437"/>
    <n v="1255.7782775368348"/>
    <n v="6141.2927270503451"/>
    <n v="0.96666666666666667"/>
    <n v="255.07141395128207"/>
    <n v="16"/>
    <n v="37"/>
    <m/>
  </r>
  <r>
    <x v="2"/>
    <s v="SKU49"/>
    <n v="78.897913205640037"/>
    <n v="19"/>
    <n v="99"/>
    <n v="8001.6132065190022"/>
    <s v="Unknown"/>
    <n v="97"/>
    <n v="24"/>
    <n v="9"/>
    <n v="6"/>
    <s v="Carrier C"/>
    <n v="384"/>
    <s v="Supplier 5"/>
    <s v="Delhi"/>
    <n v="177"/>
    <n v="28"/>
    <n v="14.147815443979217"/>
    <s v="Pass"/>
    <n v="2.8258139854001318"/>
    <s v="Rail"/>
    <s v="Route A"/>
    <n v="336.89016851997792"/>
    <n v="735.03798396395712"/>
    <n v="7266.575222555045"/>
    <n v="1.0206185567010309"/>
    <n v="80.824375823424262"/>
    <n v="3.8787878787878789"/>
    <n v="58"/>
    <m/>
  </r>
  <r>
    <x v="2"/>
    <s v="SKU50"/>
    <n v="14.203484264803022"/>
    <n v="91"/>
    <n v="633"/>
    <n v="5910.8853896688988"/>
    <s v="Female"/>
    <n v="31"/>
    <n v="23"/>
    <n v="82"/>
    <n v="10"/>
    <s v="Carrier A"/>
    <n v="615"/>
    <s v="Supplier 2"/>
    <s v="Delhi"/>
    <n v="306"/>
    <n v="21"/>
    <n v="45.178757924634517"/>
    <s v="Fail"/>
    <n v="4.7548008046711852"/>
    <s v="Rail"/>
    <s v="Route B"/>
    <n v="496.24865029194046"/>
    <n v="1156.427408216575"/>
    <n v="4754.457981452324"/>
    <n v="20.419354838709676"/>
    <n v="9.3378916108513401"/>
    <n v="0.97156398104265407"/>
    <n v="54"/>
    <m/>
  </r>
  <r>
    <x v="0"/>
    <s v="SKU51"/>
    <n v="26.70076097246173"/>
    <n v="61"/>
    <n v="154"/>
    <n v="9866.465457979697"/>
    <s v="Male"/>
    <n v="100"/>
    <n v="4"/>
    <n v="52"/>
    <n v="1"/>
    <s v="Carrier A"/>
    <n v="484"/>
    <s v="Supplier 5"/>
    <s v="Bangalore"/>
    <n v="673"/>
    <n v="28"/>
    <n v="14.190328344569981"/>
    <s v="Pending"/>
    <n v="1.7729511720835571"/>
    <s v="Road"/>
    <s v="Route A"/>
    <n v="694.98231757944586"/>
    <n v="1193.1726459240158"/>
    <n v="8673.2928120556808"/>
    <n v="1.54"/>
    <n v="64.067957519348681"/>
    <n v="3.1428571428571428"/>
    <n v="33"/>
    <m/>
  </r>
  <r>
    <x v="1"/>
    <s v="SKU52"/>
    <n v="98.031829656465078"/>
    <n v="1"/>
    <n v="820"/>
    <n v="9435.7626089121295"/>
    <s v="Male"/>
    <n v="64"/>
    <n v="11"/>
    <n v="11"/>
    <n v="1"/>
    <s v="Carrier B"/>
    <n v="583"/>
    <s v="Supplier 1"/>
    <s v="Mumbai"/>
    <n v="727"/>
    <n v="27"/>
    <n v="9.1668491485971515"/>
    <s v="Pending"/>
    <n v="2.1224716191438247"/>
    <s v="Air"/>
    <s v="Route C"/>
    <n v="602.89849883838338"/>
    <n v="1195.0653479869804"/>
    <n v="8240.6972609251497"/>
    <n v="12.8125"/>
    <n v="11.507027571844061"/>
    <n v="0.71097560975609753"/>
    <n v="39"/>
    <m/>
  </r>
  <r>
    <x v="1"/>
    <s v="SKU53"/>
    <n v="30.341470711214214"/>
    <n v="93"/>
    <n v="242"/>
    <n v="8232.3348294258212"/>
    <s v="Male"/>
    <n v="96"/>
    <n v="25"/>
    <n v="54"/>
    <n v="3"/>
    <s v="Carrier B"/>
    <n v="923"/>
    <s v="Supplier 1"/>
    <s v="Delhi"/>
    <n v="631"/>
    <n v="17"/>
    <n v="83.344058991677969"/>
    <s v="Pending"/>
    <n v="1.4103475760760271"/>
    <s v="Air"/>
    <s v="Route B"/>
    <n v="750.73784066827091"/>
    <n v="1757.0818996599489"/>
    <n v="6475.2529297658721"/>
    <n v="2.5208333333333335"/>
    <n v="34.017912518288519"/>
    <n v="3.8140495867768593"/>
    <n v="45"/>
    <m/>
  </r>
  <r>
    <x v="0"/>
    <s v="SKU54"/>
    <n v="31.146243160240854"/>
    <n v="11"/>
    <n v="622"/>
    <n v="6088.0214799408586"/>
    <s v="Non-binary"/>
    <n v="33"/>
    <n v="22"/>
    <n v="61"/>
    <n v="3"/>
    <s v="Carrier B"/>
    <n v="239"/>
    <s v="Supplier 1"/>
    <s v="Kolkata"/>
    <n v="497"/>
    <n v="29"/>
    <n v="30.186023375822508"/>
    <s v="Pass"/>
    <n v="2.4787719755397477"/>
    <s v="Road"/>
    <s v="Route B"/>
    <n v="814.06999658218751"/>
    <n v="1083.25601995801"/>
    <n v="5004.7654599828484"/>
    <n v="18.848484848484848"/>
    <n v="9.7878158841492908"/>
    <n v="0.38424437299035369"/>
    <n v="54"/>
    <m/>
  </r>
  <r>
    <x v="0"/>
    <s v="SKU55"/>
    <n v="79.855058340789427"/>
    <n v="16"/>
    <n v="701"/>
    <n v="2925.6751703038126"/>
    <s v="Male"/>
    <n v="97"/>
    <n v="11"/>
    <n v="11"/>
    <n v="5"/>
    <s v="Carrier A"/>
    <n v="1170"/>
    <s v="Supplier 2"/>
    <s v="Delhi"/>
    <n v="918"/>
    <n v="5"/>
    <n v="30.323545256616502"/>
    <s v="Fail"/>
    <n v="4.5489196593963852"/>
    <s v="Sea"/>
    <s v="Route B"/>
    <n v="323.01292795247883"/>
    <n v="1523.3364732090952"/>
    <n v="1402.3386970947174"/>
    <n v="7.2268041237113403"/>
    <n v="4.1735737094205598"/>
    <n v="1.6690442225392297"/>
    <n v="21"/>
    <m/>
  </r>
  <r>
    <x v="1"/>
    <s v="SKU56"/>
    <n v="20.986386037043378"/>
    <n v="90"/>
    <n v="93"/>
    <n v="4767.020484344137"/>
    <s v="Non-binary"/>
    <n v="25"/>
    <n v="23"/>
    <n v="83"/>
    <n v="5"/>
    <s v="Carrier C"/>
    <n v="1083"/>
    <s v="Supplier 1"/>
    <s v="Mumbai"/>
    <n v="826"/>
    <n v="28"/>
    <n v="12.836284572832753"/>
    <s v="Pass"/>
    <n v="1.1737554953874541"/>
    <s v="Air"/>
    <s v="Route B"/>
    <n v="832.21080870602168"/>
    <n v="1928.0470932788544"/>
    <n v="2838.9733910652826"/>
    <n v="3.72"/>
    <n v="51.258284777893948"/>
    <n v="11.64516129032258"/>
    <n v="56"/>
    <m/>
  </r>
  <r>
    <x v="0"/>
    <s v="SKU57"/>
    <n v="49.263205350734154"/>
    <n v="65"/>
    <n v="227"/>
    <n v="1605.8669003924058"/>
    <s v="Unknown"/>
    <n v="5"/>
    <n v="18"/>
    <n v="51"/>
    <n v="1"/>
    <s v="Carrier B"/>
    <n v="690"/>
    <s v="Supplier 2"/>
    <s v="Delhi"/>
    <n v="588"/>
    <n v="25"/>
    <n v="67.779622987078142"/>
    <s v="Pending"/>
    <n v="2.511174830212707"/>
    <s v="Rail"/>
    <s v="Route A"/>
    <n v="482.19123860252813"/>
    <n v="1239.9708615896061"/>
    <n v="365.89603880279969"/>
    <n v="45.4"/>
    <n v="7.0743035259577347"/>
    <n v="3.0396475770925111"/>
    <n v="44"/>
    <m/>
  </r>
  <r>
    <x v="1"/>
    <s v="SKU58"/>
    <n v="59.84156137728931"/>
    <n v="81"/>
    <n v="896"/>
    <n v="2021.1498103371077"/>
    <s v="Non-binary"/>
    <n v="10"/>
    <n v="5"/>
    <n v="44"/>
    <n v="7"/>
    <s v="Carrier A"/>
    <n v="834"/>
    <s v="Supplier 3"/>
    <s v="Delhi"/>
    <n v="396"/>
    <n v="7"/>
    <n v="65.047415094691459"/>
    <s v="Fail"/>
    <n v="1.7303747198591968"/>
    <s v="Road"/>
    <s v="Route B"/>
    <n v="110.36433523136472"/>
    <n v="1009.4117503260562"/>
    <n v="1011.7380600110515"/>
    <n v="89.6"/>
    <n v="2.2557475561798079"/>
    <n v="0.9308035714285714"/>
    <n v="19"/>
    <m/>
  </r>
  <r>
    <x v="2"/>
    <s v="SKU59"/>
    <n v="63.828398347710966"/>
    <n v="30"/>
    <n v="484"/>
    <n v="1061.618523013288"/>
    <s v="Non-binary"/>
    <n v="100"/>
    <n v="16"/>
    <n v="26"/>
    <n v="7"/>
    <s v="Carrier B"/>
    <n v="878"/>
    <s v="Supplier 1"/>
    <s v="Kolkata"/>
    <n v="176"/>
    <n v="4"/>
    <n v="1.900762243519458"/>
    <s v="Fail"/>
    <n v="0.4471940154638232"/>
    <s v="Air"/>
    <s v="Route A"/>
    <n v="312.57427361009331"/>
    <n v="1192.4750358536128"/>
    <n v="-130.85651284032474"/>
    <n v="4.84"/>
    <n v="2.1934267004406776"/>
    <n v="1.8140495867768596"/>
    <n v="27"/>
    <m/>
  </r>
  <r>
    <x v="1"/>
    <s v="SKU60"/>
    <n v="17.028027920188702"/>
    <n v="16"/>
    <n v="380"/>
    <n v="8864.0843495864356"/>
    <s v="Female"/>
    <n v="41"/>
    <n v="27"/>
    <n v="72"/>
    <n v="8"/>
    <s v="Carrier C"/>
    <n v="1043"/>
    <s v="Supplier 4"/>
    <s v="Mumbai"/>
    <n v="929"/>
    <n v="24"/>
    <n v="87.213057815135684"/>
    <s v="Fail"/>
    <n v="2.8530906166490539"/>
    <s v="Rail"/>
    <s v="Route A"/>
    <n v="430.16909697513654"/>
    <n v="1560.3821547902724"/>
    <n v="7303.702194796163"/>
    <n v="9.2682926829268286"/>
    <n v="23.326537762069567"/>
    <n v="2.7447368421052634"/>
    <n v="59"/>
    <m/>
  </r>
  <r>
    <x v="0"/>
    <s v="SKU61"/>
    <n v="52.028749903294923"/>
    <n v="23"/>
    <n v="117"/>
    <n v="6885.5893508962527"/>
    <s v="Unknown"/>
    <n v="32"/>
    <n v="23"/>
    <n v="36"/>
    <n v="7"/>
    <s v="Carrier C"/>
    <n v="558"/>
    <s v="Supplier 4"/>
    <s v="Kolkata"/>
    <n v="480"/>
    <n v="12"/>
    <n v="78.702393968878894"/>
    <s v="Fail"/>
    <n v="4.3674705382050529"/>
    <s v="Air"/>
    <s v="Route A"/>
    <n v="164.36652824341942"/>
    <n v="801.06892221229839"/>
    <n v="6084.5204286839544"/>
    <n v="3.65625"/>
    <n v="58.851191033301305"/>
    <n v="4.7692307692307692"/>
    <n v="42"/>
    <m/>
  </r>
  <r>
    <x v="2"/>
    <s v="SKU62"/>
    <n v="72.796353955587364"/>
    <n v="89"/>
    <n v="270"/>
    <n v="3899.7468337292244"/>
    <s v="Unknown"/>
    <n v="86"/>
    <n v="2"/>
    <n v="40"/>
    <n v="7"/>
    <s v="Carrier C"/>
    <n v="648"/>
    <s v="Supplier 2"/>
    <s v="Mumbai"/>
    <n v="751"/>
    <n v="14"/>
    <n v="21.048642725168644"/>
    <s v="Pass"/>
    <n v="1.8740014040443747"/>
    <s v="Sea"/>
    <s v="Route C"/>
    <n v="320.84651575911158"/>
    <n v="989.89515848428016"/>
    <n v="2909.8516752449441"/>
    <n v="3.13953488372093"/>
    <n v="14.443506791589719"/>
    <n v="2.4"/>
    <n v="23"/>
    <m/>
  </r>
  <r>
    <x v="1"/>
    <s v="SKU63"/>
    <n v="13.017376785287857"/>
    <n v="55"/>
    <n v="246"/>
    <n v="4256.9491408502254"/>
    <s v="Non-binary"/>
    <n v="54"/>
    <n v="19"/>
    <n v="10"/>
    <n v="4"/>
    <s v="Carrier A"/>
    <n v="762"/>
    <s v="Supplier 3"/>
    <s v="Bangalore"/>
    <n v="736"/>
    <n v="10"/>
    <n v="20.075003975630484"/>
    <s v="Pending"/>
    <n v="3.6328432903821337"/>
    <s v="Sea"/>
    <s v="Route A"/>
    <n v="687.28617786641735"/>
    <n v="1469.3611818420479"/>
    <n v="2787.5879590081777"/>
    <n v="4.5555555555555554"/>
    <n v="17.30467130426921"/>
    <n v="3.0975609756097562"/>
    <n v="33"/>
    <m/>
  </r>
  <r>
    <x v="1"/>
    <s v="SKU64"/>
    <n v="89.634095608135326"/>
    <n v="11"/>
    <n v="134"/>
    <n v="8458.7308783671779"/>
    <s v="Female"/>
    <n v="73"/>
    <n v="27"/>
    <n v="75"/>
    <n v="6"/>
    <s v="Carrier C"/>
    <n v="1047"/>
    <s v="Supplier 1"/>
    <s v="Delhi"/>
    <n v="328"/>
    <n v="6"/>
    <n v="8.6930424258772874"/>
    <s v="Fail"/>
    <n v="0.15948631471751462"/>
    <s v="Air"/>
    <s v="Route C"/>
    <n v="771.22508468115745"/>
    <n v="1826.9181271070349"/>
    <n v="6631.8127512601432"/>
    <n v="1.8356164383561644"/>
    <n v="63.124857301247594"/>
    <n v="7.8134328358208958"/>
    <n v="39"/>
    <m/>
  </r>
  <r>
    <x v="1"/>
    <s v="SKU65"/>
    <n v="33.697717206643127"/>
    <n v="72"/>
    <n v="457"/>
    <n v="8354.5796864819949"/>
    <s v="Male"/>
    <n v="57"/>
    <n v="24"/>
    <n v="54"/>
    <n v="8"/>
    <s v="Carrier C"/>
    <n v="699"/>
    <s v="Supplier 5"/>
    <s v="Kolkata"/>
    <n v="358"/>
    <n v="21"/>
    <n v="1.5972227430506774"/>
    <s v="Fail"/>
    <n v="4.911095954842331"/>
    <s v="Rail"/>
    <s v="Route C"/>
    <n v="555.85910367174347"/>
    <n v="1256.4563264147941"/>
    <n v="7098.1233600672003"/>
    <n v="8.0175438596491233"/>
    <n v="18.28135598792559"/>
    <n v="1.5295404814004376"/>
    <n v="53"/>
    <m/>
  </r>
  <r>
    <x v="1"/>
    <s v="SKU66"/>
    <n v="26.034869773962086"/>
    <n v="52"/>
    <n v="704"/>
    <n v="8367.721618020154"/>
    <s v="Female"/>
    <n v="13"/>
    <n v="17"/>
    <n v="19"/>
    <n v="8"/>
    <s v="Carrier A"/>
    <n v="346"/>
    <s v="Supplier 5"/>
    <s v="Kolkata"/>
    <n v="867"/>
    <n v="28"/>
    <n v="42.084436738309961"/>
    <s v="Fail"/>
    <n v="3.4480632883402618"/>
    <s v="Road"/>
    <s v="Route A"/>
    <n v="393.84334857842788"/>
    <n v="781.92778531673775"/>
    <n v="7585.7938327034162"/>
    <n v="54.153846153846153"/>
    <n v="11.885968207414992"/>
    <n v="0.49147727272727271"/>
    <n v="53"/>
    <m/>
  </r>
  <r>
    <x v="1"/>
    <s v="SKU67"/>
    <n v="87.755432354001073"/>
    <n v="16"/>
    <n v="513"/>
    <n v="9473.7980325083372"/>
    <s v="Unknown"/>
    <n v="12"/>
    <n v="9"/>
    <n v="71"/>
    <n v="9"/>
    <s v="Carrier C"/>
    <n v="467"/>
    <s v="Supplier 1"/>
    <s v="Mumbai"/>
    <n v="198"/>
    <n v="11"/>
    <n v="7.0578761469782307"/>
    <s v="Pass"/>
    <n v="0.13195544431181483"/>
    <s v="Sea"/>
    <s v="Route C"/>
    <n v="169.2718013847869"/>
    <n v="643.32967753176513"/>
    <n v="8830.4683549765723"/>
    <n v="42.75"/>
    <n v="18.467442558495783"/>
    <n v="0.91033138401559455"/>
    <n v="29"/>
    <m/>
  </r>
  <r>
    <x v="0"/>
    <s v="SKU68"/>
    <n v="37.931812382790319"/>
    <n v="29"/>
    <n v="163"/>
    <n v="3550.2184327809919"/>
    <s v="Non-binary"/>
    <n v="0"/>
    <n v="8"/>
    <n v="58"/>
    <n v="8"/>
    <s v="Carrier B"/>
    <n v="990"/>
    <s v="Supplier 2"/>
    <s v="Bangalore"/>
    <n v="375"/>
    <n v="18"/>
    <n v="97.113581563462205"/>
    <s v="Fail"/>
    <n v="1.9834678721741801"/>
    <s v="Rail"/>
    <s v="Route A"/>
    <n v="299.70630311810316"/>
    <n v="1386.8198846815656"/>
    <n v="2163.3985480994261"/>
    <s v=""/>
    <n v="21.780481182705472"/>
    <n v="6.0736196319018401"/>
    <n v="34"/>
    <m/>
  </r>
  <r>
    <x v="1"/>
    <s v="SKU69"/>
    <n v="54.865528517069791"/>
    <n v="62"/>
    <n v="511"/>
    <n v="1752.3810874841247"/>
    <s v="Non-binary"/>
    <n v="95"/>
    <n v="1"/>
    <n v="27"/>
    <n v="3"/>
    <s v="Carrier B"/>
    <n v="944"/>
    <s v="Supplier 4"/>
    <s v="Kolkata"/>
    <n v="862"/>
    <n v="7"/>
    <n v="77.627765812748166"/>
    <s v="Pending"/>
    <n v="1.3623879886491086"/>
    <s v="Air"/>
    <s v="Route A"/>
    <n v="207.66320620857562"/>
    <n v="1229.2909720213236"/>
    <n v="523.09011546280112"/>
    <n v="5.3789473684210529"/>
    <n v="3.4293171966421228"/>
    <n v="1.847358121330724"/>
    <n v="11"/>
    <m/>
  </r>
  <r>
    <x v="0"/>
    <s v="SKU70"/>
    <n v="47.914541824058766"/>
    <n v="90"/>
    <n v="32"/>
    <n v="7014.8879872033885"/>
    <s v="Female"/>
    <n v="10"/>
    <n v="12"/>
    <n v="22"/>
    <n v="4"/>
    <s v="Carrier B"/>
    <n v="600"/>
    <s v="Supplier 1"/>
    <s v="Bangalore"/>
    <n v="775"/>
    <n v="16"/>
    <n v="11.440781823761265"/>
    <s v="Pass"/>
    <n v="1.8305755986122314"/>
    <s v="Road"/>
    <s v="Route C"/>
    <n v="183.27289874871101"/>
    <n v="794.7136805724723"/>
    <n v="6220.1743066309164"/>
    <n v="3.2"/>
    <n v="219.21524960010589"/>
    <n v="18.75"/>
    <n v="32"/>
    <m/>
  </r>
  <r>
    <x v="2"/>
    <s v="SKU71"/>
    <n v="6.3815331627479663"/>
    <n v="14"/>
    <n v="637"/>
    <n v="8180.3370854254426"/>
    <s v="Female"/>
    <n v="76"/>
    <n v="2"/>
    <n v="26"/>
    <n v="6"/>
    <s v="Carrier A"/>
    <n v="898"/>
    <s v="Supplier 2"/>
    <s v="Bangalore"/>
    <n v="258"/>
    <n v="10"/>
    <n v="30.661677477859556"/>
    <s v="Pending"/>
    <n v="2.0787506078749689"/>
    <s v="Road"/>
    <s v="Route A"/>
    <n v="405.16706788885585"/>
    <n v="1333.8287453667153"/>
    <n v="6846.5083400587273"/>
    <n v="8.3815789473684212"/>
    <n v="12.84197344650776"/>
    <n v="1.4097331240188382"/>
    <n v="18"/>
    <m/>
  </r>
  <r>
    <x v="2"/>
    <s v="SKU72"/>
    <n v="90.204427520528071"/>
    <n v="88"/>
    <n v="478"/>
    <n v="2633.1219813122557"/>
    <s v="Non-binary"/>
    <n v="57"/>
    <n v="29"/>
    <n v="77"/>
    <n v="9"/>
    <s v="Carrier A"/>
    <n v="122"/>
    <s v="Supplier 1"/>
    <s v="Bangalore"/>
    <n v="152"/>
    <n v="11"/>
    <n v="55.760492895244212"/>
    <s v="Pending"/>
    <n v="3.2133296074383089"/>
    <s v="Rail"/>
    <s v="Route B"/>
    <n v="677.9445698461833"/>
    <n v="855.70506274142747"/>
    <n v="1777.4169185708283"/>
    <n v="8.3859649122807021"/>
    <n v="5.5086233918666441"/>
    <n v="0.25523012552301255"/>
    <n v="49"/>
    <m/>
  </r>
  <r>
    <x v="2"/>
    <s v="SKU73"/>
    <n v="83.851017681304597"/>
    <n v="41"/>
    <n v="375"/>
    <n v="7910.8869161406856"/>
    <s v="Male"/>
    <n v="17"/>
    <n v="25"/>
    <n v="66"/>
    <n v="5"/>
    <s v="Carrier B"/>
    <n v="222"/>
    <s v="Supplier 4"/>
    <s v="Chennai"/>
    <n v="444"/>
    <n v="4"/>
    <n v="46.870238797617155"/>
    <s v="Fail"/>
    <n v="4.6205460645137064"/>
    <s v="Road"/>
    <s v="Route A"/>
    <n v="866.4728001296578"/>
    <n v="1135.3430389272748"/>
    <n v="6775.5438772134112"/>
    <n v="22.058823529411764"/>
    <n v="21.09569844304183"/>
    <n v="0.59199999999999997"/>
    <n v="34"/>
    <m/>
  </r>
  <r>
    <x v="0"/>
    <s v="SKU74"/>
    <n v="3.1700114135661548"/>
    <n v="64"/>
    <n v="904"/>
    <n v="5709.9452959692871"/>
    <s v="Female"/>
    <n v="41"/>
    <n v="6"/>
    <n v="1"/>
    <n v="5"/>
    <s v="Carrier A"/>
    <n v="738"/>
    <s v="Supplier 4"/>
    <s v="Delhi"/>
    <n v="919"/>
    <n v="9"/>
    <n v="80.580852156447818"/>
    <s v="Fail"/>
    <n v="0.39661272410993542"/>
    <s v="Rail"/>
    <s v="Route A"/>
    <n v="341.55265678322337"/>
    <n v="1160.1335089396714"/>
    <n v="4549.8117870296155"/>
    <n v="22.048780487804876"/>
    <n v="6.3163111681076183"/>
    <n v="0.8163716814159292"/>
    <n v="20"/>
    <m/>
  </r>
  <r>
    <x v="1"/>
    <s v="SKU75"/>
    <n v="92.996884233970661"/>
    <n v="29"/>
    <n v="106"/>
    <n v="1889.073589779335"/>
    <s v="Non-binary"/>
    <n v="16"/>
    <n v="20"/>
    <n v="56"/>
    <n v="10"/>
    <s v="Carrier C"/>
    <n v="876"/>
    <s v="Supplier 1"/>
    <s v="Chennai"/>
    <n v="759"/>
    <n v="11"/>
    <n v="48.064782640006591"/>
    <s v="Pass"/>
    <n v="2.0300690886687516"/>
    <s v="Air"/>
    <s v="Route C"/>
    <n v="873.12964801765145"/>
    <n v="1797.1944306576581"/>
    <n v="91.879159121676821"/>
    <n v="6.625"/>
    <n v="17.821448960182405"/>
    <n v="8.2641509433962259"/>
    <n v="41"/>
    <m/>
  </r>
  <r>
    <x v="0"/>
    <s v="SKU76"/>
    <n v="69.108799547430323"/>
    <n v="23"/>
    <n v="241"/>
    <n v="5328.3759842977579"/>
    <s v="Male"/>
    <n v="38"/>
    <n v="1"/>
    <n v="22"/>
    <n v="10"/>
    <s v="Carrier A"/>
    <n v="155"/>
    <s v="Supplier 2"/>
    <s v="Bangalore"/>
    <n v="985"/>
    <n v="24"/>
    <n v="64.323597795600222"/>
    <s v="Pending"/>
    <n v="2.1800374515822165"/>
    <s v="Rail"/>
    <s v="Route A"/>
    <n v="997.4134501331946"/>
    <n v="1216.7370479287947"/>
    <n v="4111.6389363689632"/>
    <n v="6.3421052631578947"/>
    <n v="22.109443918247958"/>
    <n v="0.6431535269709544"/>
    <n v="35"/>
    <m/>
  </r>
  <r>
    <x v="0"/>
    <s v="SKU77"/>
    <n v="57.449742958971477"/>
    <n v="14"/>
    <n v="359"/>
    <n v="2483.7601775427947"/>
    <s v="Unknown"/>
    <n v="96"/>
    <n v="28"/>
    <n v="57"/>
    <n v="4"/>
    <s v="Carrier B"/>
    <n v="526"/>
    <s v="Supplier 1"/>
    <s v="Kolkata"/>
    <n v="334"/>
    <n v="5"/>
    <n v="42.952444748991837"/>
    <s v="Pass"/>
    <n v="3.0551418183075478"/>
    <s v="Road"/>
    <s v="Route B"/>
    <n v="852.56809891984994"/>
    <n v="1421.5205436688418"/>
    <n v="1062.2396338739529"/>
    <n v="3.7395833333333335"/>
    <n v="6.918552026581601"/>
    <n v="1.4651810584958218"/>
    <n v="37"/>
    <m/>
  </r>
  <r>
    <x v="0"/>
    <s v="SKU78"/>
    <n v="6.3068831761119153"/>
    <n v="50"/>
    <n v="946"/>
    <n v="1292.4584179377562"/>
    <s v="Unknown"/>
    <n v="5"/>
    <n v="4"/>
    <n v="51"/>
    <n v="5"/>
    <s v="Carrier B"/>
    <n v="511"/>
    <s v="Supplier 5"/>
    <s v="Mumbai"/>
    <n v="858"/>
    <n v="21"/>
    <n v="71.126514720403378"/>
    <s v="Pending"/>
    <n v="4.0968813324704518"/>
    <s v="Sea"/>
    <s v="Route C"/>
    <n v="323.59220343132216"/>
    <n v="905.71871815172551"/>
    <n v="386.73969978603066"/>
    <n v="189.2"/>
    <n v="1.366235114099108"/>
    <n v="0.54016913319238902"/>
    <n v="30"/>
    <m/>
  </r>
  <r>
    <x v="0"/>
    <s v="SKU79"/>
    <n v="57.057031221103223"/>
    <n v="56"/>
    <n v="198"/>
    <n v="7888.7232684270812"/>
    <s v="Non-binary"/>
    <n v="31"/>
    <n v="25"/>
    <n v="20"/>
    <n v="1"/>
    <s v="Carrier B"/>
    <n v="1160"/>
    <s v="Supplier 3"/>
    <s v="Bangalore"/>
    <n v="228"/>
    <n v="12"/>
    <n v="57.87090292403628"/>
    <s v="Pending"/>
    <n v="0.16587162748060824"/>
    <s v="Air"/>
    <s v="Route C"/>
    <n v="351.50421933503867"/>
    <n v="1569.3751222590749"/>
    <n v="6319.3481461680058"/>
    <n v="6.387096774193548"/>
    <n v="39.842036709227685"/>
    <n v="5.858585858585859"/>
    <n v="38"/>
    <m/>
  </r>
  <r>
    <x v="1"/>
    <s v="SKU80"/>
    <n v="91.128318350444331"/>
    <n v="75"/>
    <n v="872"/>
    <n v="8651.6726829820655"/>
    <s v="Unknown"/>
    <n v="39"/>
    <n v="14"/>
    <n v="41"/>
    <n v="2"/>
    <s v="Carrier C"/>
    <n v="862"/>
    <s v="Supplier 3"/>
    <s v="Chennai"/>
    <n v="202"/>
    <n v="5"/>
    <n v="76.961228023820013"/>
    <s v="Fail"/>
    <n v="2.8496621985053308"/>
    <s v="Sea"/>
    <s v="Route B"/>
    <n v="787.77985049434449"/>
    <n v="1726.7410785181644"/>
    <n v="6924.9316044639008"/>
    <n v="22.358974358974358"/>
    <n v="9.9216429850711751"/>
    <n v="0.98853211009174313"/>
    <n v="21"/>
    <m/>
  </r>
  <r>
    <x v="0"/>
    <s v="SKU81"/>
    <n v="72.819206930318217"/>
    <n v="9"/>
    <n v="774"/>
    <n v="4384.4134000458625"/>
    <s v="Unknown"/>
    <n v="48"/>
    <n v="6"/>
    <n v="8"/>
    <n v="5"/>
    <s v="Carrier B"/>
    <n v="147"/>
    <s v="Supplier 3"/>
    <s v="Delhi"/>
    <n v="698"/>
    <n v="1"/>
    <n v="19.789592941903603"/>
    <s v="Pending"/>
    <n v="2.5475471215487118"/>
    <s v="Rail"/>
    <s v="Route B"/>
    <n v="276.77833594679885"/>
    <n v="443.56792888870245"/>
    <n v="3940.8454711571603"/>
    <n v="16.125"/>
    <n v="5.6646167959248874"/>
    <n v="0.18992248062015504"/>
    <n v="12"/>
    <m/>
  </r>
  <r>
    <x v="1"/>
    <s v="SKU82"/>
    <n v="17.034930739467917"/>
    <n v="13"/>
    <n v="336"/>
    <n v="2943.3818676094515"/>
    <s v="Unknown"/>
    <n v="42"/>
    <n v="19"/>
    <n v="72"/>
    <n v="1"/>
    <s v="Carrier A"/>
    <n v="868"/>
    <s v="Supplier 2"/>
    <s v="Mumbai"/>
    <n v="955"/>
    <n v="26"/>
    <n v="4.4652784349432402"/>
    <s v="Pending"/>
    <n v="4.1378770486223573"/>
    <s v="Road"/>
    <s v="Route C"/>
    <n v="589.97855562804068"/>
    <n v="1462.443834062984"/>
    <n v="1480.9380335464675"/>
    <n v="8"/>
    <n v="8.7600650821709873"/>
    <n v="2.5833333333333335"/>
    <n v="46"/>
    <m/>
  </r>
  <r>
    <x v="0"/>
    <s v="SKU83"/>
    <n v="68.911246211606326"/>
    <n v="82"/>
    <n v="663"/>
    <n v="2411.754632110491"/>
    <s v="Unknown"/>
    <n v="65"/>
    <n v="24"/>
    <n v="7"/>
    <n v="8"/>
    <s v="Carrier B"/>
    <n v="332"/>
    <s v="Supplier 1"/>
    <s v="Bangalore"/>
    <n v="443"/>
    <n v="5"/>
    <n v="97.730593800533043"/>
    <s v="Fail"/>
    <n v="0.77300613406724783"/>
    <s v="Road"/>
    <s v="Route A"/>
    <n v="682.97101822609329"/>
    <n v="1112.7016120266264"/>
    <n v="1299.0530200838646"/>
    <n v="10.199999999999999"/>
    <n v="3.6376389624592624"/>
    <n v="0.50075414781297134"/>
    <n v="37"/>
    <m/>
  </r>
  <r>
    <x v="0"/>
    <s v="SKU84"/>
    <n v="89.104367292102253"/>
    <n v="99"/>
    <n v="618"/>
    <n v="2048.2900998487103"/>
    <s v="Unknown"/>
    <n v="73"/>
    <n v="26"/>
    <n v="80"/>
    <n v="10"/>
    <s v="Carrier A"/>
    <n v="1191"/>
    <s v="Supplier 5"/>
    <s v="Chennai"/>
    <n v="589"/>
    <n v="22"/>
    <n v="33.808636513209095"/>
    <s v="Pass"/>
    <n v="4.8434565771180411"/>
    <s v="Air"/>
    <s v="Route B"/>
    <n v="465.45700596368795"/>
    <n v="1690.2656424768973"/>
    <n v="358.02445737181301"/>
    <n v="8.4657534246575334"/>
    <n v="3.3143852748361007"/>
    <n v="1.9271844660194175"/>
    <n v="58"/>
    <m/>
  </r>
  <r>
    <x v="2"/>
    <s v="SKU85"/>
    <n v="76.962994415193876"/>
    <n v="83"/>
    <n v="25"/>
    <n v="8684.6130592538575"/>
    <s v="Female"/>
    <n v="15"/>
    <n v="18"/>
    <n v="66"/>
    <n v="2"/>
    <s v="Carrier C"/>
    <n v="352"/>
    <s v="Supplier 5"/>
    <s v="Chennai"/>
    <n v="211"/>
    <n v="2"/>
    <n v="69.929345518672307"/>
    <s v="Fail"/>
    <n v="1.3744289997457582"/>
    <s v="Road"/>
    <s v="Route B"/>
    <n v="842.68683000464148"/>
    <n v="1264.6161755233138"/>
    <n v="7419.9968837305441"/>
    <n v="1.6666666666666667"/>
    <n v="347.38452237015429"/>
    <n v="14.08"/>
    <n v="22"/>
    <m/>
  </r>
  <r>
    <x v="1"/>
    <s v="SKU86"/>
    <n v="19.998176940404221"/>
    <n v="18"/>
    <n v="223"/>
    <n v="1229.5910285649834"/>
    <s v="Unknown"/>
    <n v="32"/>
    <n v="14"/>
    <n v="22"/>
    <n v="6"/>
    <s v="Carrier B"/>
    <n v="821"/>
    <s v="Supplier 1"/>
    <s v="Mumbai"/>
    <n v="569"/>
    <n v="18"/>
    <n v="74.608969995194684"/>
    <s v="Pass"/>
    <n v="2.0515129307662465"/>
    <s v="Rail"/>
    <s v="Route A"/>
    <n v="264.25488983586649"/>
    <n v="1159.8638598310611"/>
    <n v="69.727168733922326"/>
    <n v="6.96875"/>
    <n v="5.5138611146411813"/>
    <n v="3.6816143497757849"/>
    <n v="38"/>
    <m/>
  </r>
  <r>
    <x v="0"/>
    <s v="SKU87"/>
    <n v="80.41403665035574"/>
    <n v="24"/>
    <n v="79"/>
    <n v="5133.8467010866916"/>
    <s v="Male"/>
    <n v="5"/>
    <n v="7"/>
    <n v="55"/>
    <n v="10"/>
    <s v="Carrier A"/>
    <n v="1030"/>
    <s v="Supplier 3"/>
    <s v="Chennai"/>
    <n v="523"/>
    <n v="17"/>
    <n v="28.69699682414317"/>
    <s v="Fail"/>
    <n v="3.6937377878392756"/>
    <s v="Sea"/>
    <s v="Route B"/>
    <n v="879.3592177349243"/>
    <n v="1938.0562145590673"/>
    <n v="3195.7904865276241"/>
    <n v="15.8"/>
    <n v="64.985401279578369"/>
    <n v="13.037974683544304"/>
    <n v="34"/>
    <m/>
  </r>
  <r>
    <x v="2"/>
    <s v="SKU88"/>
    <n v="75.27040697572501"/>
    <n v="58"/>
    <n v="737"/>
    <n v="9444.7420330629793"/>
    <s v="Male"/>
    <n v="60"/>
    <n v="18"/>
    <n v="85"/>
    <n v="7"/>
    <s v="Carrier A"/>
    <n v="849"/>
    <s v="Supplier 2"/>
    <s v="Mumbai"/>
    <n v="953"/>
    <n v="11"/>
    <n v="68.184919057041171"/>
    <s v="Pending"/>
    <n v="0.722204401882931"/>
    <s v="Sea"/>
    <s v="Route A"/>
    <n v="103.91624796070495"/>
    <n v="1021.1011670177461"/>
    <n v="8423.6408660452325"/>
    <n v="12.283333333333333"/>
    <n v="12.815118090994545"/>
    <n v="1.1519674355495251"/>
    <n v="36"/>
    <m/>
  </r>
  <r>
    <x v="2"/>
    <s v="SKU89"/>
    <n v="97.760085581938668"/>
    <n v="10"/>
    <n v="134"/>
    <n v="5924.682566853231"/>
    <s v="Unknown"/>
    <n v="90"/>
    <n v="1"/>
    <n v="27"/>
    <n v="8"/>
    <s v="Carrier B"/>
    <n v="1126"/>
    <s v="Supplier 1"/>
    <s v="Kolkata"/>
    <n v="370"/>
    <n v="11"/>
    <n v="46.603873381644469"/>
    <s v="Pending"/>
    <n v="1.9076657339590746"/>
    <s v="Rail"/>
    <s v="Route B"/>
    <n v="517.4999739290605"/>
    <n v="1690.1038473107051"/>
    <n v="4234.5787195425255"/>
    <n v="1.4888888888888889"/>
    <n v="44.214049006367397"/>
    <n v="8.4029850746268657"/>
    <n v="20"/>
    <m/>
  </r>
  <r>
    <x v="1"/>
    <s v="SKU90"/>
    <n v="13.881913501359142"/>
    <n v="56"/>
    <n v="320"/>
    <n v="9592.6335702803117"/>
    <s v="Non-binary"/>
    <n v="66"/>
    <n v="18"/>
    <n v="96"/>
    <n v="7"/>
    <s v="Carrier B"/>
    <n v="176"/>
    <s v="Supplier 3"/>
    <s v="Bangalore"/>
    <n v="585"/>
    <n v="8"/>
    <n v="85.675963335797974"/>
    <s v="Pass"/>
    <n v="1.2193822244013885"/>
    <s v="Rail"/>
    <s v="Route B"/>
    <n v="990.07847250581119"/>
    <n v="1251.7544358416089"/>
    <n v="8340.8791344387027"/>
    <n v="4.8484848484848486"/>
    <n v="29.976979907125973"/>
    <n v="0.55000000000000004"/>
    <n v="33"/>
    <m/>
  </r>
  <r>
    <x v="2"/>
    <s v="SKU91"/>
    <n v="62.111965463961788"/>
    <n v="90"/>
    <n v="916"/>
    <n v="1935.2067935075991"/>
    <s v="Male"/>
    <n v="98"/>
    <n v="22"/>
    <n v="85"/>
    <n v="7"/>
    <s v="Carrier B"/>
    <n v="553"/>
    <s v="Supplier 4"/>
    <s v="Delhi"/>
    <n v="207"/>
    <n v="28"/>
    <n v="39.772882502339975"/>
    <s v="Pending"/>
    <n v="0.62600185820939458"/>
    <s v="Rail"/>
    <s v="Route B"/>
    <n v="996.77831495062378"/>
    <n v="1589.5511974529638"/>
    <n v="345.65559605463523"/>
    <n v="9.3469387755102034"/>
    <n v="2.1126711719515274"/>
    <n v="0.60371179039301315"/>
    <n v="57"/>
    <m/>
  </r>
  <r>
    <x v="2"/>
    <s v="SKU92"/>
    <n v="47.714233075820232"/>
    <n v="44"/>
    <n v="276"/>
    <n v="2100.1297546259366"/>
    <s v="Male"/>
    <n v="90"/>
    <n v="25"/>
    <n v="10"/>
    <n v="8"/>
    <s v="Carrier B"/>
    <n v="535"/>
    <s v="Supplier 2"/>
    <s v="Mumbai"/>
    <n v="671"/>
    <n v="29"/>
    <n v="62.612690395614344"/>
    <s v="Pass"/>
    <n v="0.33343182522473924"/>
    <s v="Rail"/>
    <s v="Route B"/>
    <n v="230.09278253676294"/>
    <n v="827.70547293237723"/>
    <n v="1272.4242816935594"/>
    <n v="3.0666666666666669"/>
    <n v="7.6091657776302046"/>
    <n v="1.9384057971014492"/>
    <n v="62"/>
    <m/>
  </r>
  <r>
    <x v="0"/>
    <s v="SKU93"/>
    <n v="69.290831002905492"/>
    <n v="88"/>
    <n v="114"/>
    <n v="4531.4021336919095"/>
    <s v="Unknown"/>
    <n v="63"/>
    <n v="17"/>
    <n v="66"/>
    <n v="1"/>
    <s v="Carrier C"/>
    <n v="144"/>
    <s v="Supplier 4"/>
    <s v="Chennai"/>
    <n v="824"/>
    <n v="20"/>
    <n v="35.633652343343876"/>
    <s v="Fail"/>
    <n v="4.1657817954241452"/>
    <s v="Air"/>
    <s v="Route A"/>
    <n v="823.52384588815585"/>
    <n v="1003.1574982314997"/>
    <n v="3528.2446354604099"/>
    <n v="1.8095238095238095"/>
    <n v="39.74914152361324"/>
    <n v="1.263157894736842"/>
    <n v="38"/>
    <m/>
  </r>
  <r>
    <x v="2"/>
    <s v="SKU94"/>
    <n v="3.0376887246314141"/>
    <n v="97"/>
    <n v="987"/>
    <n v="7888.3565466618729"/>
    <s v="Unknown"/>
    <n v="77"/>
    <n v="26"/>
    <n v="72"/>
    <n v="9"/>
    <s v="Carrier B"/>
    <n v="199"/>
    <s v="Supplier 2"/>
    <s v="Delhi"/>
    <n v="908"/>
    <n v="14"/>
    <n v="60.387378614862122"/>
    <s v="Pass"/>
    <n v="1.4636074984727798"/>
    <s v="Rail"/>
    <s v="Route B"/>
    <n v="846.66525698669477"/>
    <n v="1106.0526356015569"/>
    <n v="6782.3039110603158"/>
    <n v="12.818181818181818"/>
    <n v="7.9922558730110165"/>
    <n v="0.2016210739614995"/>
    <n v="49"/>
    <m/>
  </r>
  <r>
    <x v="0"/>
    <s v="SKU95"/>
    <n v="77.903927219447752"/>
    <n v="65"/>
    <n v="672"/>
    <n v="7386.3639440486641"/>
    <s v="Unknown"/>
    <n v="15"/>
    <n v="14"/>
    <n v="26"/>
    <n v="9"/>
    <s v="Carrier B"/>
    <n v="782"/>
    <s v="Supplier 4"/>
    <s v="Mumbai"/>
    <n v="450"/>
    <n v="26"/>
    <n v="58.890685768589982"/>
    <s v="Pending"/>
    <n v="1.2108821295850665"/>
    <s v="Air"/>
    <s v="Route A"/>
    <n v="778.8642413766479"/>
    <n v="1619.7549271452378"/>
    <n v="5766.609016903426"/>
    <n v="44.8"/>
    <n v="10.991613011977179"/>
    <n v="1.1636904761904763"/>
    <n v="49"/>
    <m/>
  </r>
  <r>
    <x v="2"/>
    <s v="SKU96"/>
    <n v="24.42313142037338"/>
    <n v="29"/>
    <n v="324"/>
    <n v="7698.4247656321168"/>
    <s v="Non-binary"/>
    <n v="67"/>
    <n v="2"/>
    <n v="32"/>
    <n v="3"/>
    <s v="Carrier C"/>
    <n v="370"/>
    <s v="Supplier 3"/>
    <s v="Mumbai"/>
    <n v="648"/>
    <n v="28"/>
    <n v="17.80375633139127"/>
    <s v="Pending"/>
    <n v="3.8720476814821332"/>
    <s v="Road"/>
    <s v="Route A"/>
    <n v="188.74214114905698"/>
    <n v="576.54589748044828"/>
    <n v="7121.8788681516689"/>
    <n v="4.8358208955223878"/>
    <n v="23.760570264296657"/>
    <n v="1.1419753086419753"/>
    <n v="33"/>
    <m/>
  </r>
  <r>
    <x v="0"/>
    <s v="SKU97"/>
    <n v="3.5261112591434158"/>
    <n v="56"/>
    <n v="62"/>
    <n v="4370.9165799845359"/>
    <s v="Male"/>
    <n v="46"/>
    <n v="19"/>
    <n v="4"/>
    <n v="9"/>
    <s v="Carrier A"/>
    <n v="508"/>
    <s v="Supplier 4"/>
    <s v="Mumbai"/>
    <n v="535"/>
    <n v="13"/>
    <n v="65.765155926367456"/>
    <s v="Fail"/>
    <n v="3.3762378347179811"/>
    <s v="Road"/>
    <s v="Route A"/>
    <n v="540.13242286796776"/>
    <n v="1113.8975787943352"/>
    <n v="3257.0190011902005"/>
    <n v="1.3478260869565217"/>
    <n v="70.498654515879608"/>
    <n v="8.193548387096774"/>
    <n v="41"/>
    <m/>
  </r>
  <r>
    <x v="1"/>
    <s v="SKU98"/>
    <n v="19.754604866878601"/>
    <n v="43"/>
    <n v="913"/>
    <n v="8525.9525596835265"/>
    <s v="Female"/>
    <n v="53"/>
    <n v="1"/>
    <n v="27"/>
    <n v="7"/>
    <s v="Carrier B"/>
    <n v="1109"/>
    <s v="Supplier 5"/>
    <s v="Chennai"/>
    <n v="581"/>
    <n v="9"/>
    <n v="5.604690864371781"/>
    <s v="Pending"/>
    <n v="2.9081221693512611"/>
    <s v="Rail"/>
    <s v="Route A"/>
    <n v="882.19886354704147"/>
    <n v="1996.8035544114134"/>
    <n v="6529.1490052721128"/>
    <n v="17.226415094339622"/>
    <n v="9.3383927269260969"/>
    <n v="1.2146768893756845"/>
    <n v="17"/>
    <m/>
  </r>
  <r>
    <x v="0"/>
    <s v="SKU99"/>
    <n v="68.517832699276639"/>
    <n v="17"/>
    <n v="627"/>
    <n v="9185.1858291817043"/>
    <s v="Unknown"/>
    <n v="55"/>
    <n v="8"/>
    <n v="59"/>
    <n v="6"/>
    <s v="Carrier B"/>
    <n v="228"/>
    <s v="Supplier 2"/>
    <s v="Chennai"/>
    <n v="921"/>
    <n v="2"/>
    <n v="38.07289852062604"/>
    <s v="Fail"/>
    <n v="0.34602729070550342"/>
    <s v="Rail"/>
    <s v="Route B"/>
    <n v="210.74300896424614"/>
    <n v="476.81590748487218"/>
    <n v="8708.3699216968325"/>
    <n v="11.4"/>
    <n v="14.649419185297774"/>
    <n v="0.36363636363636365"/>
    <n v="16"/>
    <m/>
  </r>
  <r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0"/>
    <n v="69.808005542115765"/>
    <n v="55"/>
    <n v="802"/>
    <n v="8661.9967923923832"/>
    <s v="Non-binary"/>
    <n v="58"/>
    <n v="7"/>
    <n v="96"/>
    <n v="4"/>
    <s v="Carrier B"/>
    <n v="103"/>
    <x v="0"/>
    <s v="Mumbai"/>
    <n v="215"/>
    <n v="29"/>
    <n v="46.279879240508322"/>
    <s v="Pending"/>
    <n v="0.22641036084992516"/>
    <x v="0"/>
    <x v="0"/>
    <n v="187.75207545920392"/>
    <n v="337.03195469971223"/>
    <n v="8324.9648376926707"/>
    <n v="13.827586206896552"/>
    <n v="10.800494753606463"/>
    <n v="0.128428927680798"/>
    <n v="40"/>
  </r>
  <r>
    <x v="1"/>
    <s v="SKU1"/>
    <n v="14.843523275084339"/>
    <n v="95"/>
    <n v="736"/>
    <n v="7460.9000654458487"/>
    <s v="Female"/>
    <n v="53"/>
    <n v="30"/>
    <n v="37"/>
    <n v="2"/>
    <s v="Carrier A"/>
    <n v="938"/>
    <x v="0"/>
    <s v="Mumbai"/>
    <n v="517"/>
    <n v="30"/>
    <n v="33.616768953730002"/>
    <s v="Pending"/>
    <n v="4.8540680263887062"/>
    <x v="0"/>
    <x v="0"/>
    <n v="503.06557914966919"/>
    <n v="1474.6823481033994"/>
    <n v="5986.2177173424498"/>
    <n v="13.886792452830189"/>
    <n v="10.137092480225338"/>
    <n v="1.2744565217391304"/>
    <n v="62"/>
  </r>
  <r>
    <x v="0"/>
    <s v="SKU2"/>
    <n v="11.319683293090566"/>
    <n v="34"/>
    <n v="635"/>
    <n v="9577.7496258687297"/>
    <s v="Unknown"/>
    <n v="24"/>
    <n v="10"/>
    <n v="88"/>
    <n v="2"/>
    <s v="Carrier B"/>
    <n v="480"/>
    <x v="1"/>
    <s v="Mumbai"/>
    <n v="971"/>
    <n v="27"/>
    <n v="30.688019348284204"/>
    <s v="Pending"/>
    <n v="4.580592619199229"/>
    <x v="1"/>
    <x v="1"/>
    <n v="141.92028177151906"/>
    <n v="652.60830111980329"/>
    <n v="8925.1413247489272"/>
    <n v="26.458333333333332"/>
    <n v="15.08307027695863"/>
    <n v="0.75590551181102361"/>
    <n v="39"/>
  </r>
  <r>
    <x v="1"/>
    <s v="SKU3"/>
    <n v="61.163343016437736"/>
    <n v="68"/>
    <n v="83"/>
    <n v="7766.8364256852328"/>
    <s v="Non-binary"/>
    <n v="23"/>
    <n v="13"/>
    <n v="59"/>
    <n v="6"/>
    <s v="Carrier C"/>
    <n v="945"/>
    <x v="2"/>
    <s v="Kolkata"/>
    <n v="937"/>
    <n v="18"/>
    <n v="35.624741397125028"/>
    <s v="Fail"/>
    <n v="4.7466486206477496"/>
    <x v="2"/>
    <x v="2"/>
    <n v="254.77615921928663"/>
    <n v="1235.4009006164117"/>
    <n v="6531.4355250688213"/>
    <n v="3.6086956521739131"/>
    <n v="93.576342478135331"/>
    <n v="11.385542168674698"/>
    <n v="37"/>
  </r>
  <r>
    <x v="1"/>
    <s v="SKU4"/>
    <n v="4.8054960363458932"/>
    <n v="26"/>
    <n v="871"/>
    <n v="2686.5051515674468"/>
    <s v="Non-binary"/>
    <n v="5"/>
    <n v="3"/>
    <n v="56"/>
    <n v="8"/>
    <s v="Carrier A"/>
    <n v="932"/>
    <x v="1"/>
    <s v="Delhi"/>
    <n v="414"/>
    <n v="3"/>
    <n v="92.065160598712851"/>
    <s v="Fail"/>
    <n v="3.1455795228330019"/>
    <x v="1"/>
    <x v="2"/>
    <n v="923.44063171192215"/>
    <n v="1947.5057923106351"/>
    <n v="738.99935925681166"/>
    <n v="174.2"/>
    <n v="3.0843916780338079"/>
    <n v="1.0700344431687716"/>
    <n v="14"/>
  </r>
  <r>
    <x v="0"/>
    <s v="SKU5"/>
    <n v="1.6999760138659377"/>
    <n v="87"/>
    <n v="147"/>
    <n v="2828.3487459757589"/>
    <s v="Non-binary"/>
    <n v="90"/>
    <n v="27"/>
    <n v="66"/>
    <n v="3"/>
    <s v="Carrier B"/>
    <n v="466"/>
    <x v="3"/>
    <s v="Bangalore"/>
    <n v="104"/>
    <n v="17"/>
    <n v="56.766475557431797"/>
    <s v="Fail"/>
    <n v="2.7791935115711617"/>
    <x v="0"/>
    <x v="2"/>
    <n v="235.46123673553751"/>
    <n v="758.22771229296939"/>
    <n v="2070.1210336827894"/>
    <n v="1.6333333333333333"/>
    <n v="19.240467659699039"/>
    <n v="3.1700680272108843"/>
    <n v="47"/>
  </r>
  <r>
    <x v="1"/>
    <s v="SKU6"/>
    <n v="4.0783328631079447"/>
    <n v="48"/>
    <n v="65"/>
    <n v="7823.4765595317367"/>
    <s v="Male"/>
    <n v="11"/>
    <n v="15"/>
    <n v="58"/>
    <n v="8"/>
    <s v="Carrier C"/>
    <n v="759"/>
    <x v="0"/>
    <s v="Kolkata"/>
    <n v="314"/>
    <n v="24"/>
    <n v="1.0850685695870688"/>
    <s v="Pending"/>
    <n v="1.0009106193041357"/>
    <x v="3"/>
    <x v="2"/>
    <n v="134.36909686103172"/>
    <n v="894.45416543061879"/>
    <n v="6929.0223941011182"/>
    <n v="5.9090909090909092"/>
    <n v="120.3611778389498"/>
    <n v="11.676923076923076"/>
    <n v="47"/>
  </r>
  <r>
    <x v="2"/>
    <s v="SKU7"/>
    <n v="42.958384382460068"/>
    <n v="59"/>
    <n v="426"/>
    <n v="8496.1038130898378"/>
    <s v="Female"/>
    <n v="93"/>
    <n v="17"/>
    <n v="11"/>
    <n v="1"/>
    <s v="Carrier B"/>
    <n v="388"/>
    <x v="3"/>
    <s v="Bangalore"/>
    <n v="564"/>
    <n v="1"/>
    <n v="99.466108603599125"/>
    <s v="Fail"/>
    <n v="0.39817718685065062"/>
    <x v="0"/>
    <x v="1"/>
    <n v="802.05631181755859"/>
    <n v="1289.5224204211579"/>
    <n v="7206.5813926686797"/>
    <n v="4.580645161290323"/>
    <n v="19.943905664530135"/>
    <n v="0.91079812206572774"/>
    <n v="19"/>
  </r>
  <r>
    <x v="2"/>
    <s v="SKU8"/>
    <n v="68.717596748527328"/>
    <n v="78"/>
    <n v="150"/>
    <n v="7517.363210631127"/>
    <s v="Female"/>
    <n v="5"/>
    <n v="10"/>
    <n v="15"/>
    <n v="7"/>
    <s v="Carrier C"/>
    <n v="388"/>
    <x v="3"/>
    <s v="Mumbai"/>
    <n v="769"/>
    <n v="8"/>
    <n v="11.423027139565695"/>
    <s v="Pending"/>
    <n v="2.7098626911099615"/>
    <x v="3"/>
    <x v="0"/>
    <n v="505.55713422546415"/>
    <n v="904.98016136502974"/>
    <n v="6612.3830492660973"/>
    <n v="30"/>
    <n v="50.115754737540847"/>
    <n v="2.5866666666666664"/>
    <n v="25"/>
  </r>
  <r>
    <x v="1"/>
    <s v="SKU9"/>
    <n v="64.015732941278543"/>
    <n v="35"/>
    <n v="980"/>
    <n v="4971.145987585558"/>
    <s v="Unknown"/>
    <n v="14"/>
    <n v="27"/>
    <n v="83"/>
    <n v="1"/>
    <s v="Carrier A"/>
    <n v="1098"/>
    <x v="4"/>
    <s v="Chennai"/>
    <n v="963"/>
    <n v="23"/>
    <n v="47.95760163495158"/>
    <s v="Pending"/>
    <n v="3.8446144787675851"/>
    <x v="2"/>
    <x v="0"/>
    <n v="995.92946149864167"/>
    <n v="2141.8870631335931"/>
    <n v="2829.258924451965"/>
    <n v="70"/>
    <n v="5.0725979465158755"/>
    <n v="1.120408163265306"/>
    <n v="51"/>
  </r>
  <r>
    <x v="1"/>
    <s v="SKU10"/>
    <n v="15.707795681912138"/>
    <n v="11"/>
    <n v="996"/>
    <n v="2330.9658020919492"/>
    <s v="Non-binary"/>
    <n v="51"/>
    <n v="13"/>
    <n v="80"/>
    <n v="2"/>
    <s v="Carrier C"/>
    <n v="1074"/>
    <x v="2"/>
    <s v="Kolkata"/>
    <n v="830"/>
    <n v="5"/>
    <n v="96.52735278531091"/>
    <s v="Pass"/>
    <n v="1.7273139283559424"/>
    <x v="0"/>
    <x v="0"/>
    <n v="806.10317770292295"/>
    <n v="1976.6305304882339"/>
    <n v="354.33527160371523"/>
    <n v="19.529411764705884"/>
    <n v="2.3403271105340857"/>
    <n v="1.0783132530120483"/>
    <n v="20"/>
  </r>
  <r>
    <x v="1"/>
    <s v="SKU11"/>
    <n v="90.635459982288666"/>
    <n v="95"/>
    <n v="960"/>
    <n v="6099.944115581452"/>
    <s v="Female"/>
    <n v="46"/>
    <n v="23"/>
    <n v="60"/>
    <n v="1"/>
    <s v="Carrier A"/>
    <n v="972"/>
    <x v="4"/>
    <s v="Kolkata"/>
    <n v="362"/>
    <n v="11"/>
    <n v="27.592363086663696"/>
    <s v="Pending"/>
    <n v="2.1169821372994391E-2"/>
    <x v="1"/>
    <x v="2"/>
    <n v="126.72303340940725"/>
    <n v="1126.3153964960709"/>
    <n v="4973.6287190853809"/>
    <n v="20.869565217391305"/>
    <n v="6.3541084537306789"/>
    <n v="1.0125"/>
    <n v="35"/>
  </r>
  <r>
    <x v="0"/>
    <s v="SKU12"/>
    <n v="71.213389075360084"/>
    <n v="41"/>
    <n v="336"/>
    <n v="2873.7414460214413"/>
    <s v="Unknown"/>
    <n v="100"/>
    <n v="30"/>
    <n v="85"/>
    <n v="4"/>
    <s v="Carrier A"/>
    <n v="231"/>
    <x v="3"/>
    <s v="Kolkata"/>
    <n v="563"/>
    <n v="3"/>
    <n v="32.321286213424031"/>
    <s v="Fail"/>
    <n v="2.1612537475559117"/>
    <x v="0"/>
    <x v="0"/>
    <n v="402.96878907377061"/>
    <n v="666.29007528719467"/>
    <n v="2207.4513707342467"/>
    <n v="3.36"/>
    <n v="8.5528019226828604"/>
    <n v="0.6875"/>
    <n v="37"/>
  </r>
  <r>
    <x v="1"/>
    <s v="SKU13"/>
    <n v="16.160393317379977"/>
    <n v="5"/>
    <n v="249"/>
    <n v="4052.7384162378667"/>
    <s v="Male"/>
    <n v="80"/>
    <n v="8"/>
    <n v="48"/>
    <n v="9"/>
    <s v="Carrier A"/>
    <n v="904"/>
    <x v="2"/>
    <s v="Bangalore"/>
    <n v="173"/>
    <n v="10"/>
    <n v="97.82905011017327"/>
    <s v="Pending"/>
    <n v="1.6310742300715386"/>
    <x v="0"/>
    <x v="0"/>
    <n v="547.24100516096848"/>
    <n v="1549.0700552711419"/>
    <n v="2503.6683609667248"/>
    <n v="3.1124999999999998"/>
    <n v="16.276057896537615"/>
    <n v="3.6305220883534135"/>
    <n v="27"/>
  </r>
  <r>
    <x v="1"/>
    <s v="SKU14"/>
    <n v="99.171328638624189"/>
    <n v="26"/>
    <n v="562"/>
    <n v="8653.5709264698016"/>
    <s v="Non-binary"/>
    <n v="54"/>
    <n v="29"/>
    <n v="78"/>
    <n v="5"/>
    <s v="Carrier B"/>
    <n v="118"/>
    <x v="1"/>
    <s v="Kolkata"/>
    <n v="558"/>
    <n v="14"/>
    <n v="5.7914366298629893"/>
    <s v="Pending"/>
    <n v="0.10068285156509371"/>
    <x v="1"/>
    <x v="0"/>
    <n v="929.23528996088965"/>
    <n v="1053.0267265907526"/>
    <n v="7600.5441998790493"/>
    <n v="10.407407407407407"/>
    <n v="15.397813036423134"/>
    <n v="0.20996441281138789"/>
    <n v="48"/>
  </r>
  <r>
    <x v="1"/>
    <s v="SKU15"/>
    <n v="36.98924492862691"/>
    <n v="94"/>
    <n v="469"/>
    <n v="5442.0867853976733"/>
    <s v="Non-binary"/>
    <n v="9"/>
    <n v="8"/>
    <n v="69"/>
    <n v="7"/>
    <s v="Carrier B"/>
    <n v="998"/>
    <x v="1"/>
    <s v="Bangalore"/>
    <n v="580"/>
    <n v="7"/>
    <n v="97.121281751474314"/>
    <s v="Pass"/>
    <n v="2.2644057611985491"/>
    <x v="3"/>
    <x v="0"/>
    <n v="127.86180000162541"/>
    <n v="1222.9830817530997"/>
    <n v="4219.1037036445741"/>
    <n v="52.111111111111114"/>
    <n v="11.603596557351116"/>
    <n v="2.1279317697228146"/>
    <n v="22"/>
  </r>
  <r>
    <x v="1"/>
    <s v="SKU16"/>
    <n v="7.5471721097912718"/>
    <n v="74"/>
    <n v="280"/>
    <n v="6453.7979681762854"/>
    <s v="Female"/>
    <n v="2"/>
    <n v="5"/>
    <n v="78"/>
    <n v="1"/>
    <s v="Carrier B"/>
    <n v="1193"/>
    <x v="1"/>
    <s v="Bangalore"/>
    <n v="399"/>
    <n v="21"/>
    <n v="77.106342497850008"/>
    <s v="Pass"/>
    <n v="1.0125630892580491"/>
    <x v="1"/>
    <x v="2"/>
    <n v="865.52577977124031"/>
    <n v="2135.6321222690904"/>
    <n v="4318.165845907195"/>
    <n v="140"/>
    <n v="23.049278457772449"/>
    <n v="4.2607142857142861"/>
    <n v="27"/>
  </r>
  <r>
    <x v="2"/>
    <s v="SKU17"/>
    <n v="81.462534369237019"/>
    <n v="82"/>
    <n v="126"/>
    <n v="2629.3964348452619"/>
    <s v="Female"/>
    <n v="45"/>
    <n v="17"/>
    <n v="85"/>
    <n v="9"/>
    <s v="Carrier C"/>
    <n v="461"/>
    <x v="1"/>
    <s v="Chennai"/>
    <n v="453"/>
    <n v="16"/>
    <n v="47.679680368355335"/>
    <s v="Fail"/>
    <n v="0.10202075491817619"/>
    <x v="1"/>
    <x v="1"/>
    <n v="670.93439079241034"/>
    <n v="1179.6140711607657"/>
    <n v="1449.7823636844962"/>
    <n v="2.8"/>
    <n v="20.868225673375093"/>
    <n v="3.6587301587301586"/>
    <n v="42"/>
  </r>
  <r>
    <x v="0"/>
    <s v="SKU18"/>
    <n v="36.443627770460935"/>
    <n v="23"/>
    <n v="620"/>
    <n v="9364.6735050761727"/>
    <s v="Unknown"/>
    <n v="10"/>
    <n v="10"/>
    <n v="46"/>
    <n v="8"/>
    <s v="Carrier C"/>
    <n v="310"/>
    <x v="4"/>
    <s v="Kolkata"/>
    <n v="374"/>
    <n v="17"/>
    <n v="27.10798085484392"/>
    <s v="Pending"/>
    <n v="2.2319391107292637"/>
    <x v="3"/>
    <x v="2"/>
    <n v="593.48025872065182"/>
    <n v="930.58823957549578"/>
    <n v="8434.0852655006765"/>
    <n v="62"/>
    <n v="15.104312104961569"/>
    <n v="0.5"/>
    <n v="35"/>
  </r>
  <r>
    <x v="1"/>
    <s v="SKU19"/>
    <n v="51.12387008796474"/>
    <n v="100"/>
    <n v="187"/>
    <n v="2553.4955849912149"/>
    <s v="Unknown"/>
    <n v="48"/>
    <n v="11"/>
    <n v="94"/>
    <n v="3"/>
    <s v="Carrier A"/>
    <n v="869"/>
    <x v="3"/>
    <s v="Chennai"/>
    <n v="694"/>
    <n v="16"/>
    <n v="82.373320587990207"/>
    <s v="Fail"/>
    <n v="3.6464508654170293"/>
    <x v="0"/>
    <x v="1"/>
    <n v="477.30763109090344"/>
    <n v="1428.6809516788937"/>
    <n v="1124.8146333123211"/>
    <n v="3.8958333333333335"/>
    <n v="13.655056604231095"/>
    <n v="4.6470588235294121"/>
    <n v="30"/>
  </r>
  <r>
    <x v="1"/>
    <s v="SKU20"/>
    <n v="96.341072439963384"/>
    <n v="22"/>
    <n v="320"/>
    <n v="8128.0276968511916"/>
    <s v="Unknown"/>
    <n v="27"/>
    <n v="12"/>
    <n v="68"/>
    <n v="6"/>
    <s v="Carrier A"/>
    <n v="802"/>
    <x v="1"/>
    <s v="Chennai"/>
    <n v="309"/>
    <n v="6"/>
    <n v="65.686259608488626"/>
    <s v="Pass"/>
    <n v="4.2314165735345393"/>
    <x v="1"/>
    <x v="0"/>
    <n v="493.87121531620585"/>
    <n v="1361.5574749246946"/>
    <n v="6766.4702219264973"/>
    <n v="11.851851851851851"/>
    <n v="25.400086552659975"/>
    <n v="2.5062500000000001"/>
    <n v="24"/>
  </r>
  <r>
    <x v="2"/>
    <s v="SKU21"/>
    <n v="84.893868984950828"/>
    <n v="60"/>
    <n v="601"/>
    <n v="7087.0526963574366"/>
    <s v="Unknown"/>
    <n v="69"/>
    <n v="25"/>
    <n v="7"/>
    <n v="6"/>
    <s v="Carrier B"/>
    <n v="257"/>
    <x v="2"/>
    <s v="Chennai"/>
    <n v="791"/>
    <n v="4"/>
    <n v="61.735728954160933"/>
    <s v="Pending"/>
    <n v="1.8607567631014899E-2"/>
    <x v="1"/>
    <x v="1"/>
    <n v="523.36091472015801"/>
    <n v="842.0966436743189"/>
    <n v="6244.9560526831174"/>
    <n v="8.7101449275362324"/>
    <n v="11.79210099227527"/>
    <n v="0.42762063227953412"/>
    <n v="35"/>
  </r>
  <r>
    <x v="0"/>
    <s v="SKU22"/>
    <n v="27.679780886501959"/>
    <n v="55"/>
    <n v="884"/>
    <n v="2390.8078665561734"/>
    <s v="Unknown"/>
    <n v="71"/>
    <n v="1"/>
    <n v="63"/>
    <n v="10"/>
    <s v="Carrier A"/>
    <n v="190"/>
    <x v="3"/>
    <s v="Kolkata"/>
    <n v="780"/>
    <n v="28"/>
    <n v="50.120839612977349"/>
    <s v="Fail"/>
    <n v="2.5912754732111161"/>
    <x v="2"/>
    <x v="1"/>
    <n v="205.57199582694707"/>
    <n v="445.69283543992441"/>
    <n v="1945.1150311162489"/>
    <n v="12.450704225352112"/>
    <n v="2.7045337856970288"/>
    <n v="0.21493212669683259"/>
    <n v="39"/>
  </r>
  <r>
    <x v="2"/>
    <s v="SKU23"/>
    <n v="4.3243411858641636"/>
    <n v="30"/>
    <n v="391"/>
    <n v="8858.367571011484"/>
    <s v="Unknown"/>
    <n v="84"/>
    <n v="5"/>
    <n v="29"/>
    <n v="7"/>
    <s v="Carrier A"/>
    <n v="959"/>
    <x v="2"/>
    <s v="Kolkata"/>
    <n v="568"/>
    <n v="29"/>
    <n v="98.609957242703871"/>
    <s v="Pending"/>
    <n v="1.3422915627227339"/>
    <x v="2"/>
    <x v="2"/>
    <n v="196.32944611241268"/>
    <n v="1253.9394033551164"/>
    <n v="7604.4281676563678"/>
    <n v="4.6547619047619051"/>
    <n v="22.655671537113768"/>
    <n v="2.452685421994885"/>
    <n v="41"/>
  </r>
  <r>
    <x v="0"/>
    <s v="SKU24"/>
    <n v="4.1563083593111081"/>
    <n v="32"/>
    <n v="209"/>
    <n v="9049.0778609398967"/>
    <s v="Male"/>
    <n v="4"/>
    <n v="26"/>
    <n v="2"/>
    <n v="8"/>
    <s v="Carrier C"/>
    <n v="407"/>
    <x v="4"/>
    <s v="Bangalore"/>
    <n v="447"/>
    <n v="3"/>
    <n v="40.382359702924816"/>
    <s v="Pending"/>
    <n v="3.691310292628728"/>
    <x v="1"/>
    <x v="2"/>
    <n v="758.72477260293829"/>
    <n v="1206.1071323058629"/>
    <n v="7842.9707286340335"/>
    <n v="52.25"/>
    <n v="43.29702325808563"/>
    <n v="1.9473684210526316"/>
    <n v="37"/>
  </r>
  <r>
    <x v="0"/>
    <s v="SKU25"/>
    <n v="39.629343985092625"/>
    <n v="73"/>
    <n v="142"/>
    <n v="2174.777054350654"/>
    <s v="Male"/>
    <n v="82"/>
    <n v="11"/>
    <n v="52"/>
    <n v="3"/>
    <s v="Carrier C"/>
    <n v="852"/>
    <x v="3"/>
    <s v="Kolkata"/>
    <n v="934"/>
    <n v="23"/>
    <n v="78.280383118415386"/>
    <s v="Pending"/>
    <n v="3.7972312171141831"/>
    <x v="0"/>
    <x v="0"/>
    <n v="458.53594573920907"/>
    <n v="1388.8163288576245"/>
    <n v="785.96072549302949"/>
    <n v="1.7317073170731707"/>
    <n v="15.315331368666577"/>
    <n v="6"/>
    <n v="37"/>
  </r>
  <r>
    <x v="0"/>
    <s v="SKU26"/>
    <n v="97.44694661789282"/>
    <n v="9"/>
    <n v="353"/>
    <n v="3716.4933258940368"/>
    <s v="Male"/>
    <n v="59"/>
    <n v="16"/>
    <n v="48"/>
    <n v="4"/>
    <s v="Carrier B"/>
    <n v="321"/>
    <x v="4"/>
    <s v="Bangalore"/>
    <n v="171"/>
    <n v="4"/>
    <n v="15.972229757181761"/>
    <s v="Pass"/>
    <n v="2.1193197367249228"/>
    <x v="2"/>
    <x v="2"/>
    <n v="617.8669164583772"/>
    <n v="954.83914621555891"/>
    <n v="2761.6541796784777"/>
    <n v="5.9830508474576272"/>
    <n v="10.528309705082258"/>
    <n v="0.90934844192634556"/>
    <n v="24"/>
  </r>
  <r>
    <x v="2"/>
    <s v="SKU27"/>
    <n v="92.557360812402024"/>
    <n v="42"/>
    <n v="352"/>
    <n v="2686.4572235759833"/>
    <s v="Unknown"/>
    <n v="47"/>
    <n v="9"/>
    <n v="62"/>
    <n v="8"/>
    <s v="Carrier C"/>
    <n v="141"/>
    <x v="2"/>
    <s v="Mumbai"/>
    <n v="291"/>
    <n v="4"/>
    <n v="10.528245070042162"/>
    <s v="Fail"/>
    <n v="2.8646678378833732"/>
    <x v="3"/>
    <x v="0"/>
    <n v="762.45918215568372"/>
    <n v="913.98742722572592"/>
    <n v="1772.4697963502574"/>
    <n v="7.4893617021276597"/>
    <n v="7.6319807487954074"/>
    <n v="0.40056818181818182"/>
    <n v="21"/>
  </r>
  <r>
    <x v="2"/>
    <s v="SKU28"/>
    <n v="2.3972747055971411"/>
    <n v="12"/>
    <n v="394"/>
    <n v="6117.3246150839923"/>
    <s v="Female"/>
    <n v="48"/>
    <n v="15"/>
    <n v="24"/>
    <n v="4"/>
    <s v="Carrier B"/>
    <n v="598"/>
    <x v="1"/>
    <s v="Mumbai"/>
    <n v="171"/>
    <n v="7"/>
    <n v="59.429381810691567"/>
    <s v="Fail"/>
    <n v="0.81575707929567198"/>
    <x v="1"/>
    <x v="2"/>
    <n v="123.43702751182708"/>
    <n v="780.86640932251862"/>
    <n v="5336.4582057614734"/>
    <n v="8.2083333333333339"/>
    <n v="15.526204606812163"/>
    <n v="1.5177664974619289"/>
    <n v="26"/>
  </r>
  <r>
    <x v="2"/>
    <s v="SKU29"/>
    <n v="63.447559185207332"/>
    <n v="3"/>
    <n v="253"/>
    <n v="8318.9031946171781"/>
    <s v="Female"/>
    <n v="45"/>
    <n v="5"/>
    <n v="67"/>
    <n v="7"/>
    <s v="Carrier B"/>
    <n v="587"/>
    <x v="1"/>
    <s v="Kolkata"/>
    <n v="329"/>
    <n v="7"/>
    <n v="39.292875586065747"/>
    <s v="Pass"/>
    <n v="3.8780989365884881"/>
    <x v="0"/>
    <x v="0"/>
    <n v="764.93537594070813"/>
    <n v="1391.2282515267739"/>
    <n v="6927.6749430904038"/>
    <n v="5.6222222222222218"/>
    <n v="32.881040294929555"/>
    <n v="2.3201581027667983"/>
    <n v="19"/>
  </r>
  <r>
    <x v="0"/>
    <s v="SKU30"/>
    <n v="8.0228592105263932"/>
    <n v="10"/>
    <n v="327"/>
    <n v="2766.3423668660889"/>
    <s v="Male"/>
    <n v="60"/>
    <n v="26"/>
    <n v="35"/>
    <n v="7"/>
    <s v="Carrier B"/>
    <n v="929"/>
    <x v="3"/>
    <s v="Kolkata"/>
    <n v="806"/>
    <n v="30"/>
    <n v="51.634893400109334"/>
    <s v="Pending"/>
    <n v="0.96539470535239313"/>
    <x v="0"/>
    <x v="1"/>
    <n v="880.08098824716103"/>
    <n v="1860.7158816472704"/>
    <n v="905.62648521881852"/>
    <n v="5.45"/>
    <n v="8.4597625898045532"/>
    <n v="2.8409785932721712"/>
    <n v="63"/>
  </r>
  <r>
    <x v="1"/>
    <s v="SKU31"/>
    <n v="50.847393051718697"/>
    <n v="28"/>
    <n v="168"/>
    <n v="9655.1351027193978"/>
    <s v="Male"/>
    <n v="6"/>
    <n v="17"/>
    <n v="44"/>
    <n v="4"/>
    <s v="Carrier B"/>
    <n v="665"/>
    <x v="0"/>
    <s v="Chennai"/>
    <n v="461"/>
    <n v="8"/>
    <n v="60.25114566159808"/>
    <s v="Pending"/>
    <n v="2.9890000066550746"/>
    <x v="2"/>
    <x v="1"/>
    <n v="609.37920661842668"/>
    <n v="1334.6303522800247"/>
    <n v="8320.5047504393733"/>
    <n v="28"/>
    <n v="57.471042278091652"/>
    <n v="3.9583333333333335"/>
    <n v="29"/>
  </r>
  <r>
    <x v="1"/>
    <s v="SKU32"/>
    <n v="79.209936015656723"/>
    <n v="43"/>
    <n v="781"/>
    <n v="9571.5504873278187"/>
    <s v="Unknown"/>
    <n v="89"/>
    <n v="13"/>
    <n v="64"/>
    <n v="4"/>
    <s v="Carrier C"/>
    <n v="660"/>
    <x v="0"/>
    <s v="Kolkata"/>
    <n v="737"/>
    <n v="7"/>
    <n v="29.692467153749774"/>
    <s v="Pass"/>
    <n v="1.9460361193861131"/>
    <x v="0"/>
    <x v="2"/>
    <n v="761.17390951487755"/>
    <n v="1450.8663766686273"/>
    <n v="8120.684110659191"/>
    <n v="8.7752808988764048"/>
    <n v="12.255506385823072"/>
    <n v="0.84507042253521125"/>
    <n v="24"/>
  </r>
  <r>
    <x v="2"/>
    <s v="SKU33"/>
    <n v="64.795435000155607"/>
    <n v="63"/>
    <n v="616"/>
    <n v="5149.9983504080365"/>
    <s v="Non-binary"/>
    <n v="4"/>
    <n v="17"/>
    <n v="95"/>
    <n v="9"/>
    <s v="Carrier C"/>
    <n v="1097"/>
    <x v="2"/>
    <s v="Chennai"/>
    <n v="251"/>
    <n v="23"/>
    <n v="23.853427512896133"/>
    <s v="Fail"/>
    <n v="3.5410460122509231"/>
    <x v="3"/>
    <x v="2"/>
    <n v="371.25529551987103"/>
    <n v="1492.1087230327671"/>
    <n v="3657.8896273752694"/>
    <n v="154"/>
    <n v="8.3603869324805782"/>
    <n v="1.7808441558441559"/>
    <n v="49"/>
  </r>
  <r>
    <x v="1"/>
    <s v="SKU34"/>
    <n v="37.467592329842461"/>
    <n v="96"/>
    <n v="602"/>
    <n v="9061.7108955077238"/>
    <s v="Unknown"/>
    <n v="24"/>
    <n v="26"/>
    <n v="21"/>
    <n v="7"/>
    <s v="Carrier A"/>
    <n v="436"/>
    <x v="1"/>
    <s v="Chennai"/>
    <n v="452"/>
    <n v="10"/>
    <n v="10.754272815029333"/>
    <s v="Pass"/>
    <n v="0.64660455937205485"/>
    <x v="0"/>
    <x v="0"/>
    <n v="510.3580004335235"/>
    <n v="957.11227324855292"/>
    <n v="8104.598622259171"/>
    <n v="25.083333333333332"/>
    <n v="15.05267590615901"/>
    <n v="0.72425249169435213"/>
    <n v="43"/>
  </r>
  <r>
    <x v="2"/>
    <s v="SKU35"/>
    <n v="84.957786816350435"/>
    <n v="11"/>
    <n v="449"/>
    <n v="6541.3293448024651"/>
    <s v="Female"/>
    <n v="42"/>
    <n v="27"/>
    <n v="85"/>
    <n v="8"/>
    <s v="Carrier C"/>
    <n v="191"/>
    <x v="1"/>
    <s v="Delhi"/>
    <n v="367"/>
    <n v="2"/>
    <n v="58.004787044743765"/>
    <s v="Pass"/>
    <n v="0.54115409806058112"/>
    <x v="3"/>
    <x v="1"/>
    <n v="553.42047123035582"/>
    <n v="802.42525827509962"/>
    <n v="5738.9040865273655"/>
    <n v="10.69047619047619"/>
    <n v="14.568662237867406"/>
    <n v="0.42538975501113585"/>
    <n v="37"/>
  </r>
  <r>
    <x v="1"/>
    <s v="SKU36"/>
    <n v="9.8130025787540518"/>
    <n v="34"/>
    <n v="963"/>
    <n v="7573.4024578487333"/>
    <s v="Female"/>
    <n v="18"/>
    <n v="23"/>
    <n v="28"/>
    <n v="3"/>
    <s v="Carrier B"/>
    <n v="738"/>
    <x v="4"/>
    <s v="Delhi"/>
    <n v="671"/>
    <n v="19"/>
    <n v="45.531364237162144"/>
    <s v="Fail"/>
    <n v="3.8055333792433537"/>
    <x v="1"/>
    <x v="1"/>
    <n v="403.8089742481805"/>
    <n v="1187.3403384853425"/>
    <n v="6386.0621193633906"/>
    <n v="53.5"/>
    <n v="7.8643846914317068"/>
    <n v="0.76635514018691586"/>
    <n v="45"/>
  </r>
  <r>
    <x v="1"/>
    <s v="SKU37"/>
    <n v="23.399844752614349"/>
    <n v="5"/>
    <n v="963"/>
    <n v="2438.3399304700288"/>
    <s v="Female"/>
    <n v="25"/>
    <n v="8"/>
    <n v="21"/>
    <n v="9"/>
    <s v="Carrier A"/>
    <n v="858"/>
    <x v="0"/>
    <s v="Kolkata"/>
    <n v="867"/>
    <n v="15"/>
    <n v="34.343277465075381"/>
    <s v="Pending"/>
    <n v="2.6102880848481131"/>
    <x v="3"/>
    <x v="2"/>
    <n v="183.93296804359437"/>
    <n v="1076.2762455086697"/>
    <n v="1362.0636849613591"/>
    <n v="38.520000000000003"/>
    <n v="2.5320248499169562"/>
    <n v="0.8909657320872274"/>
    <n v="32"/>
  </r>
  <r>
    <x v="2"/>
    <s v="SKU38"/>
    <n v="52.075930682707799"/>
    <n v="75"/>
    <n v="705"/>
    <n v="9692.3180402184316"/>
    <s v="Non-binary"/>
    <n v="69"/>
    <n v="1"/>
    <n v="88"/>
    <n v="5"/>
    <s v="Carrier B"/>
    <n v="1120"/>
    <x v="2"/>
    <s v="Mumbai"/>
    <n v="841"/>
    <n v="12"/>
    <n v="5.9306936455283177"/>
    <s v="Pending"/>
    <n v="0.61332689916450744"/>
    <x v="1"/>
    <x v="0"/>
    <n v="339.67286994860615"/>
    <n v="1465.6035635941344"/>
    <n v="8226.7144766242964"/>
    <n v="10.217391304347826"/>
    <n v="13.747968851373662"/>
    <n v="1.5886524822695036"/>
    <n v="18"/>
  </r>
  <r>
    <x v="1"/>
    <s v="SKU39"/>
    <n v="19.127477265823256"/>
    <n v="26"/>
    <n v="176"/>
    <n v="1912.4656631007608"/>
    <s v="Female"/>
    <n v="78"/>
    <n v="29"/>
    <n v="34"/>
    <n v="3"/>
    <s v="Carrier A"/>
    <n v="166"/>
    <x v="4"/>
    <s v="Kolkata"/>
    <n v="791"/>
    <n v="6"/>
    <n v="9.0058074287816421"/>
    <s v="Fail"/>
    <n v="1.4519722039968159"/>
    <x v="1"/>
    <x v="0"/>
    <n v="653.67299455203317"/>
    <n v="828.6788019808148"/>
    <n v="1083.786861119946"/>
    <n v="2.2564102564102564"/>
    <n v="10.866282176708868"/>
    <n v="0.94318181818181823"/>
    <n v="38"/>
  </r>
  <r>
    <x v="1"/>
    <s v="SKU40"/>
    <n v="80.541424170940331"/>
    <n v="97"/>
    <n v="933"/>
    <n v="5724.9593504562654"/>
    <s v="Female"/>
    <n v="90"/>
    <n v="20"/>
    <n v="39"/>
    <n v="8"/>
    <s v="Carrier C"/>
    <n v="115"/>
    <x v="1"/>
    <s v="Kolkata"/>
    <n v="793"/>
    <n v="1"/>
    <n v="88.179407104217461"/>
    <s v="Pending"/>
    <n v="4.2132694305865659"/>
    <x v="0"/>
    <x v="2"/>
    <n v="529.80872398069187"/>
    <n v="732.98813108490936"/>
    <n v="4991.9712193713558"/>
    <n v="10.366666666666667"/>
    <n v="6.1360764742296521"/>
    <n v="0.1232583065380493"/>
    <n v="29"/>
  </r>
  <r>
    <x v="1"/>
    <s v="SKU41"/>
    <n v="99.113291615317166"/>
    <n v="35"/>
    <n v="556"/>
    <n v="5521.2052590109715"/>
    <s v="Female"/>
    <n v="64"/>
    <n v="19"/>
    <n v="38"/>
    <n v="8"/>
    <s v="Carrier B"/>
    <n v="234"/>
    <x v="3"/>
    <s v="Chennai"/>
    <n v="892"/>
    <n v="7"/>
    <n v="95.332064548772493"/>
    <s v="Fail"/>
    <n v="4.530226239825963E-2"/>
    <x v="3"/>
    <x v="2"/>
    <n v="275.52437113130981"/>
    <n v="604.85643568008231"/>
    <n v="4916.348823330889"/>
    <n v="8.6875"/>
    <n v="9.9302252859909554"/>
    <n v="0.42086330935251798"/>
    <n v="34"/>
  </r>
  <r>
    <x v="1"/>
    <s v="SKU42"/>
    <n v="46.529167614516773"/>
    <n v="98"/>
    <n v="155"/>
    <n v="1839.6094258567639"/>
    <s v="Female"/>
    <n v="22"/>
    <n v="27"/>
    <n v="57"/>
    <n v="4"/>
    <s v="Carrier C"/>
    <n v="786"/>
    <x v="2"/>
    <s v="Bangalore"/>
    <n v="179"/>
    <n v="7"/>
    <n v="96.422820639571867"/>
    <s v="Fail"/>
    <n v="4.9392552886209478"/>
    <x v="0"/>
    <x v="2"/>
    <n v="635.65712050199193"/>
    <n v="1518.0799411415637"/>
    <n v="321.52948471520017"/>
    <n v="7.0454545454545459"/>
    <n v="11.868447908753316"/>
    <n v="5.0709677419354842"/>
    <n v="38"/>
  </r>
  <r>
    <x v="0"/>
    <s v="SKU43"/>
    <n v="11.743271776309239"/>
    <n v="6"/>
    <n v="598"/>
    <n v="5737.425599119023"/>
    <s v="Unknown"/>
    <n v="36"/>
    <n v="29"/>
    <n v="85"/>
    <n v="9"/>
    <s v="Carrier B"/>
    <n v="685"/>
    <x v="2"/>
    <s v="Mumbai"/>
    <n v="206"/>
    <n v="23"/>
    <n v="26.27736595733241"/>
    <s v="Pending"/>
    <n v="0.37230476798509771"/>
    <x v="1"/>
    <x v="2"/>
    <n v="716.04411975934067"/>
    <n v="1427.3214857166731"/>
    <n v="4310.1041134023499"/>
    <n v="16.611111111111111"/>
    <n v="9.5943571891622454"/>
    <n v="1.1454849498327759"/>
    <n v="61"/>
  </r>
  <r>
    <x v="2"/>
    <s v="SKU44"/>
    <n v="51.35579091311039"/>
    <n v="34"/>
    <n v="919"/>
    <n v="7152.2860494355145"/>
    <s v="Female"/>
    <n v="13"/>
    <n v="19"/>
    <n v="72"/>
    <n v="6"/>
    <s v="Carrier C"/>
    <n v="537"/>
    <x v="4"/>
    <s v="Delhi"/>
    <n v="834"/>
    <n v="18"/>
    <n v="22.554106620887744"/>
    <s v="Fail"/>
    <n v="2.9626263204548819"/>
    <x v="2"/>
    <x v="2"/>
    <n v="610.45326961922774"/>
    <n v="1170.0073762401155"/>
    <n v="5982.2786731953993"/>
    <n v="70.692307692307693"/>
    <n v="7.7826834052617135"/>
    <n v="0.58433079434167579"/>
    <n v="43"/>
  </r>
  <r>
    <x v="0"/>
    <s v="SKU45"/>
    <n v="33.78413803306551"/>
    <n v="1"/>
    <n v="24"/>
    <n v="5267.9568075105208"/>
    <s v="Male"/>
    <n v="93"/>
    <n v="7"/>
    <n v="52"/>
    <n v="6"/>
    <s v="Carrier B"/>
    <n v="326"/>
    <x v="4"/>
    <s v="Chennai"/>
    <n v="794"/>
    <n v="25"/>
    <n v="66.312544439991655"/>
    <s v="Pass"/>
    <n v="3.219604612084106"/>
    <x v="2"/>
    <x v="2"/>
    <n v="495.30569702847396"/>
    <n v="887.61824146846561"/>
    <n v="4380.3385660420554"/>
    <n v="0.25806451612903225"/>
    <n v="219.49820031293837"/>
    <n v="13.583333333333334"/>
    <n v="38"/>
  </r>
  <r>
    <x v="0"/>
    <s v="SKU46"/>
    <n v="27.082207199888899"/>
    <n v="75"/>
    <n v="859"/>
    <n v="2556.7673606335957"/>
    <s v="Non-binary"/>
    <n v="92"/>
    <n v="29"/>
    <n v="6"/>
    <n v="8"/>
    <s v="Carrier B"/>
    <n v="1068"/>
    <x v="0"/>
    <s v="Chennai"/>
    <n v="870"/>
    <n v="23"/>
    <n v="77.32235321105162"/>
    <s v="Pending"/>
    <n v="3.6486105925362033"/>
    <x v="0"/>
    <x v="0"/>
    <n v="380.43593711196428"/>
    <n v="1525.7582903230159"/>
    <n v="1031.0090703105798"/>
    <n v="9.3369565217391308"/>
    <n v="2.976446287117108"/>
    <n v="1.2433061699650756"/>
    <n v="60"/>
  </r>
  <r>
    <x v="1"/>
    <s v="SKU47"/>
    <n v="95.712135880936088"/>
    <n v="93"/>
    <n v="910"/>
    <n v="7089.4742499341864"/>
    <s v="Male"/>
    <n v="4"/>
    <n v="15"/>
    <n v="51"/>
    <n v="9"/>
    <s v="Carrier B"/>
    <n v="712"/>
    <x v="1"/>
    <s v="Kolkata"/>
    <n v="964"/>
    <n v="20"/>
    <n v="19.712992911293647"/>
    <s v="Pending"/>
    <n v="0.38057358671321373"/>
    <x v="2"/>
    <x v="2"/>
    <n v="581.60235505058677"/>
    <n v="1313.3153479618804"/>
    <n v="5776.158901972306"/>
    <n v="227.5"/>
    <n v="7.790631043883721"/>
    <n v="0.78241758241758241"/>
    <n v="44"/>
  </r>
  <r>
    <x v="0"/>
    <s v="SKU48"/>
    <n v="76.035544426891718"/>
    <n v="28"/>
    <n v="29"/>
    <n v="7397.0710045871801"/>
    <s v="Non-binary"/>
    <n v="30"/>
    <n v="16"/>
    <n v="9"/>
    <n v="3"/>
    <s v="Carrier C"/>
    <n v="464"/>
    <x v="4"/>
    <s v="Mumbai"/>
    <n v="109"/>
    <n v="18"/>
    <n v="23.126363582464776"/>
    <s v="Fail"/>
    <n v="1.6981125407144038"/>
    <x v="2"/>
    <x v="0"/>
    <n v="768.65191395437"/>
    <n v="1255.7782775368348"/>
    <n v="6141.2927270503451"/>
    <n v="0.96666666666666667"/>
    <n v="255.07141395128207"/>
    <n v="16"/>
    <n v="37"/>
  </r>
  <r>
    <x v="2"/>
    <s v="SKU49"/>
    <n v="78.897913205640037"/>
    <n v="19"/>
    <n v="99"/>
    <n v="8001.6132065190022"/>
    <s v="Unknown"/>
    <n v="97"/>
    <n v="24"/>
    <n v="9"/>
    <n v="6"/>
    <s v="Carrier C"/>
    <n v="384"/>
    <x v="2"/>
    <s v="Delhi"/>
    <n v="177"/>
    <n v="28"/>
    <n v="14.147815443979217"/>
    <s v="Pass"/>
    <n v="2.8258139854001318"/>
    <x v="2"/>
    <x v="2"/>
    <n v="336.89016851997792"/>
    <n v="735.03798396395712"/>
    <n v="7266.575222555045"/>
    <n v="1.0206185567010309"/>
    <n v="80.824375823424262"/>
    <n v="3.8787878787878789"/>
    <n v="58"/>
  </r>
  <r>
    <x v="2"/>
    <s v="SKU50"/>
    <n v="14.203484264803022"/>
    <n v="91"/>
    <n v="633"/>
    <n v="5910.8853896688988"/>
    <s v="Female"/>
    <n v="31"/>
    <n v="23"/>
    <n v="82"/>
    <n v="10"/>
    <s v="Carrier A"/>
    <n v="615"/>
    <x v="4"/>
    <s v="Delhi"/>
    <n v="306"/>
    <n v="21"/>
    <n v="45.178757924634517"/>
    <s v="Fail"/>
    <n v="4.7548008046711852"/>
    <x v="2"/>
    <x v="0"/>
    <n v="496.24865029194046"/>
    <n v="1156.427408216575"/>
    <n v="4754.457981452324"/>
    <n v="20.419354838709676"/>
    <n v="9.3378916108513401"/>
    <n v="0.97156398104265407"/>
    <n v="54"/>
  </r>
  <r>
    <x v="0"/>
    <s v="SKU51"/>
    <n v="26.70076097246173"/>
    <n v="61"/>
    <n v="154"/>
    <n v="9866.465457979697"/>
    <s v="Male"/>
    <n v="100"/>
    <n v="4"/>
    <n v="52"/>
    <n v="1"/>
    <s v="Carrier A"/>
    <n v="484"/>
    <x v="2"/>
    <s v="Bangalore"/>
    <n v="673"/>
    <n v="28"/>
    <n v="14.190328344569981"/>
    <s v="Pending"/>
    <n v="1.7729511720835571"/>
    <x v="0"/>
    <x v="2"/>
    <n v="694.98231757944586"/>
    <n v="1193.1726459240158"/>
    <n v="8673.2928120556808"/>
    <n v="1.54"/>
    <n v="64.067957519348681"/>
    <n v="3.1428571428571428"/>
    <n v="33"/>
  </r>
  <r>
    <x v="1"/>
    <s v="SKU52"/>
    <n v="98.031829656465078"/>
    <n v="1"/>
    <n v="820"/>
    <n v="9435.7626089121295"/>
    <s v="Male"/>
    <n v="64"/>
    <n v="11"/>
    <n v="11"/>
    <n v="1"/>
    <s v="Carrier B"/>
    <n v="583"/>
    <x v="1"/>
    <s v="Mumbai"/>
    <n v="727"/>
    <n v="27"/>
    <n v="9.1668491485971515"/>
    <s v="Pending"/>
    <n v="2.1224716191438247"/>
    <x v="1"/>
    <x v="1"/>
    <n v="602.89849883838338"/>
    <n v="1195.0653479869804"/>
    <n v="8240.6972609251497"/>
    <n v="12.8125"/>
    <n v="11.507027571844061"/>
    <n v="0.71097560975609753"/>
    <n v="39"/>
  </r>
  <r>
    <x v="1"/>
    <s v="SKU53"/>
    <n v="30.341470711214214"/>
    <n v="93"/>
    <n v="242"/>
    <n v="8232.3348294258212"/>
    <s v="Male"/>
    <n v="96"/>
    <n v="25"/>
    <n v="54"/>
    <n v="3"/>
    <s v="Carrier B"/>
    <n v="923"/>
    <x v="1"/>
    <s v="Delhi"/>
    <n v="631"/>
    <n v="17"/>
    <n v="83.344058991677969"/>
    <s v="Pending"/>
    <n v="1.4103475760760271"/>
    <x v="1"/>
    <x v="0"/>
    <n v="750.73784066827091"/>
    <n v="1757.0818996599489"/>
    <n v="6475.2529297658721"/>
    <n v="2.5208333333333335"/>
    <n v="34.017912518288519"/>
    <n v="3.8140495867768593"/>
    <n v="45"/>
  </r>
  <r>
    <x v="0"/>
    <s v="SKU54"/>
    <n v="31.146243160240854"/>
    <n v="11"/>
    <n v="622"/>
    <n v="6088.0214799408586"/>
    <s v="Non-binary"/>
    <n v="33"/>
    <n v="22"/>
    <n v="61"/>
    <n v="3"/>
    <s v="Carrier B"/>
    <n v="239"/>
    <x v="1"/>
    <s v="Kolkata"/>
    <n v="497"/>
    <n v="29"/>
    <n v="30.186023375822508"/>
    <s v="Pass"/>
    <n v="2.4787719755397477"/>
    <x v="0"/>
    <x v="0"/>
    <n v="814.06999658218751"/>
    <n v="1083.25601995801"/>
    <n v="5004.7654599828484"/>
    <n v="18.848484848484848"/>
    <n v="9.7878158841492908"/>
    <n v="0.38424437299035369"/>
    <n v="54"/>
  </r>
  <r>
    <x v="0"/>
    <s v="SKU55"/>
    <n v="79.855058340789427"/>
    <n v="16"/>
    <n v="701"/>
    <n v="2925.6751703038126"/>
    <s v="Male"/>
    <n v="97"/>
    <n v="11"/>
    <n v="11"/>
    <n v="5"/>
    <s v="Carrier A"/>
    <n v="1170"/>
    <x v="4"/>
    <s v="Delhi"/>
    <n v="918"/>
    <n v="5"/>
    <n v="30.323545256616502"/>
    <s v="Fail"/>
    <n v="4.5489196593963852"/>
    <x v="3"/>
    <x v="0"/>
    <n v="323.01292795247883"/>
    <n v="1523.3364732090952"/>
    <n v="1402.3386970947174"/>
    <n v="7.2268041237113403"/>
    <n v="4.1735737094205598"/>
    <n v="1.6690442225392297"/>
    <n v="21"/>
  </r>
  <r>
    <x v="1"/>
    <s v="SKU56"/>
    <n v="20.986386037043378"/>
    <n v="90"/>
    <n v="93"/>
    <n v="4767.020484344137"/>
    <s v="Non-binary"/>
    <n v="25"/>
    <n v="23"/>
    <n v="83"/>
    <n v="5"/>
    <s v="Carrier C"/>
    <n v="1083"/>
    <x v="1"/>
    <s v="Mumbai"/>
    <n v="826"/>
    <n v="28"/>
    <n v="12.836284572832753"/>
    <s v="Pass"/>
    <n v="1.1737554953874541"/>
    <x v="1"/>
    <x v="0"/>
    <n v="832.21080870602168"/>
    <n v="1928.0470932788544"/>
    <n v="2838.9733910652826"/>
    <n v="3.72"/>
    <n v="51.258284777893948"/>
    <n v="11.64516129032258"/>
    <n v="56"/>
  </r>
  <r>
    <x v="0"/>
    <s v="SKU57"/>
    <n v="49.263205350734154"/>
    <n v="65"/>
    <n v="227"/>
    <n v="1605.8669003924058"/>
    <s v="Unknown"/>
    <n v="5"/>
    <n v="18"/>
    <n v="51"/>
    <n v="1"/>
    <s v="Carrier B"/>
    <n v="690"/>
    <x v="4"/>
    <s v="Delhi"/>
    <n v="588"/>
    <n v="25"/>
    <n v="67.779622987078142"/>
    <s v="Pending"/>
    <n v="2.511174830212707"/>
    <x v="2"/>
    <x v="2"/>
    <n v="482.19123860252813"/>
    <n v="1239.9708615896061"/>
    <n v="365.89603880279969"/>
    <n v="45.4"/>
    <n v="7.0743035259577347"/>
    <n v="3.0396475770925111"/>
    <n v="44"/>
  </r>
  <r>
    <x v="1"/>
    <s v="SKU58"/>
    <n v="59.84156137728931"/>
    <n v="81"/>
    <n v="896"/>
    <n v="2021.1498103371077"/>
    <s v="Non-binary"/>
    <n v="10"/>
    <n v="5"/>
    <n v="44"/>
    <n v="7"/>
    <s v="Carrier A"/>
    <n v="834"/>
    <x v="0"/>
    <s v="Delhi"/>
    <n v="396"/>
    <n v="7"/>
    <n v="65.047415094691459"/>
    <s v="Fail"/>
    <n v="1.7303747198591968"/>
    <x v="0"/>
    <x v="0"/>
    <n v="110.36433523136472"/>
    <n v="1009.4117503260562"/>
    <n v="1011.7380600110515"/>
    <n v="89.6"/>
    <n v="2.2557475561798079"/>
    <n v="0.9308035714285714"/>
    <n v="19"/>
  </r>
  <r>
    <x v="2"/>
    <s v="SKU59"/>
    <n v="63.828398347710966"/>
    <n v="30"/>
    <n v="484"/>
    <n v="1061.618523013288"/>
    <s v="Non-binary"/>
    <n v="100"/>
    <n v="16"/>
    <n v="26"/>
    <n v="7"/>
    <s v="Carrier B"/>
    <n v="878"/>
    <x v="1"/>
    <s v="Kolkata"/>
    <n v="176"/>
    <n v="4"/>
    <n v="1.900762243519458"/>
    <s v="Fail"/>
    <n v="0.4471940154638232"/>
    <x v="1"/>
    <x v="2"/>
    <n v="312.57427361009331"/>
    <n v="1192.4750358536128"/>
    <n v="-130.85651284032474"/>
    <n v="4.84"/>
    <n v="2.1934267004406776"/>
    <n v="1.8140495867768596"/>
    <n v="27"/>
  </r>
  <r>
    <x v="1"/>
    <s v="SKU60"/>
    <n v="17.028027920188702"/>
    <n v="16"/>
    <n v="380"/>
    <n v="8864.0843495864356"/>
    <s v="Female"/>
    <n v="41"/>
    <n v="27"/>
    <n v="72"/>
    <n v="8"/>
    <s v="Carrier C"/>
    <n v="1043"/>
    <x v="3"/>
    <s v="Mumbai"/>
    <n v="929"/>
    <n v="24"/>
    <n v="87.213057815135684"/>
    <s v="Fail"/>
    <n v="2.8530906166490539"/>
    <x v="2"/>
    <x v="2"/>
    <n v="430.16909697513654"/>
    <n v="1560.3821547902724"/>
    <n v="7303.702194796163"/>
    <n v="9.2682926829268286"/>
    <n v="23.326537762069567"/>
    <n v="2.7447368421052634"/>
    <n v="59"/>
  </r>
  <r>
    <x v="0"/>
    <s v="SKU61"/>
    <n v="52.028749903294923"/>
    <n v="23"/>
    <n v="117"/>
    <n v="6885.5893508962527"/>
    <s v="Unknown"/>
    <n v="32"/>
    <n v="23"/>
    <n v="36"/>
    <n v="7"/>
    <s v="Carrier C"/>
    <n v="558"/>
    <x v="3"/>
    <s v="Kolkata"/>
    <n v="480"/>
    <n v="12"/>
    <n v="78.702393968878894"/>
    <s v="Fail"/>
    <n v="4.3674705382050529"/>
    <x v="1"/>
    <x v="2"/>
    <n v="164.36652824341942"/>
    <n v="801.06892221229839"/>
    <n v="6084.5204286839544"/>
    <n v="3.65625"/>
    <n v="58.851191033301305"/>
    <n v="4.7692307692307692"/>
    <n v="42"/>
  </r>
  <r>
    <x v="2"/>
    <s v="SKU62"/>
    <n v="72.796353955587364"/>
    <n v="89"/>
    <n v="270"/>
    <n v="3899.7468337292244"/>
    <s v="Unknown"/>
    <n v="86"/>
    <n v="2"/>
    <n v="40"/>
    <n v="7"/>
    <s v="Carrier C"/>
    <n v="648"/>
    <x v="4"/>
    <s v="Mumbai"/>
    <n v="751"/>
    <n v="14"/>
    <n v="21.048642725168644"/>
    <s v="Pass"/>
    <n v="1.8740014040443747"/>
    <x v="3"/>
    <x v="1"/>
    <n v="320.84651575911158"/>
    <n v="989.89515848428016"/>
    <n v="2909.8516752449441"/>
    <n v="3.13953488372093"/>
    <n v="14.443506791589719"/>
    <n v="2.4"/>
    <n v="23"/>
  </r>
  <r>
    <x v="1"/>
    <s v="SKU63"/>
    <n v="13.017376785287857"/>
    <n v="55"/>
    <n v="246"/>
    <n v="4256.9491408502254"/>
    <s v="Non-binary"/>
    <n v="54"/>
    <n v="19"/>
    <n v="10"/>
    <n v="4"/>
    <s v="Carrier A"/>
    <n v="762"/>
    <x v="0"/>
    <s v="Bangalore"/>
    <n v="736"/>
    <n v="10"/>
    <n v="20.075003975630484"/>
    <s v="Pending"/>
    <n v="3.6328432903821337"/>
    <x v="3"/>
    <x v="2"/>
    <n v="687.28617786641735"/>
    <n v="1469.3611818420479"/>
    <n v="2787.5879590081777"/>
    <n v="4.5555555555555554"/>
    <n v="17.30467130426921"/>
    <n v="3.0975609756097562"/>
    <n v="33"/>
  </r>
  <r>
    <x v="1"/>
    <s v="SKU64"/>
    <n v="89.634095608135326"/>
    <n v="11"/>
    <n v="134"/>
    <n v="8458.7308783671779"/>
    <s v="Female"/>
    <n v="73"/>
    <n v="27"/>
    <n v="75"/>
    <n v="6"/>
    <s v="Carrier C"/>
    <n v="1047"/>
    <x v="1"/>
    <s v="Delhi"/>
    <n v="328"/>
    <n v="6"/>
    <n v="8.6930424258772874"/>
    <s v="Fail"/>
    <n v="0.15948631471751462"/>
    <x v="1"/>
    <x v="1"/>
    <n v="771.22508468115745"/>
    <n v="1826.9181271070349"/>
    <n v="6631.8127512601432"/>
    <n v="1.8356164383561644"/>
    <n v="63.124857301247594"/>
    <n v="7.8134328358208958"/>
    <n v="39"/>
  </r>
  <r>
    <x v="1"/>
    <s v="SKU65"/>
    <n v="33.697717206643127"/>
    <n v="72"/>
    <n v="457"/>
    <n v="8354.5796864819949"/>
    <s v="Male"/>
    <n v="57"/>
    <n v="24"/>
    <n v="54"/>
    <n v="8"/>
    <s v="Carrier C"/>
    <n v="699"/>
    <x v="2"/>
    <s v="Kolkata"/>
    <n v="358"/>
    <n v="21"/>
    <n v="1.5972227430506774"/>
    <s v="Fail"/>
    <n v="4.911095954842331"/>
    <x v="2"/>
    <x v="1"/>
    <n v="555.85910367174347"/>
    <n v="1256.4563264147941"/>
    <n v="7098.1233600672003"/>
    <n v="8.0175438596491233"/>
    <n v="18.28135598792559"/>
    <n v="1.5295404814004376"/>
    <n v="53"/>
  </r>
  <r>
    <x v="1"/>
    <s v="SKU66"/>
    <n v="26.034869773962086"/>
    <n v="52"/>
    <n v="704"/>
    <n v="8367.721618020154"/>
    <s v="Female"/>
    <n v="13"/>
    <n v="17"/>
    <n v="19"/>
    <n v="8"/>
    <s v="Carrier A"/>
    <n v="346"/>
    <x v="2"/>
    <s v="Kolkata"/>
    <n v="867"/>
    <n v="28"/>
    <n v="42.084436738309961"/>
    <s v="Fail"/>
    <n v="3.4480632883402618"/>
    <x v="0"/>
    <x v="2"/>
    <n v="393.84334857842788"/>
    <n v="781.92778531673775"/>
    <n v="7585.7938327034162"/>
    <n v="54.153846153846153"/>
    <n v="11.885968207414992"/>
    <n v="0.49147727272727271"/>
    <n v="53"/>
  </r>
  <r>
    <x v="1"/>
    <s v="SKU67"/>
    <n v="87.755432354001073"/>
    <n v="16"/>
    <n v="513"/>
    <n v="9473.7980325083372"/>
    <s v="Unknown"/>
    <n v="12"/>
    <n v="9"/>
    <n v="71"/>
    <n v="9"/>
    <s v="Carrier C"/>
    <n v="467"/>
    <x v="1"/>
    <s v="Mumbai"/>
    <n v="198"/>
    <n v="11"/>
    <n v="7.0578761469782307"/>
    <s v="Pass"/>
    <n v="0.13195544431181483"/>
    <x v="3"/>
    <x v="1"/>
    <n v="169.2718013847869"/>
    <n v="643.32967753176513"/>
    <n v="8830.4683549765723"/>
    <n v="42.75"/>
    <n v="18.467442558495783"/>
    <n v="0.91033138401559455"/>
    <n v="29"/>
  </r>
  <r>
    <x v="0"/>
    <s v="SKU68"/>
    <n v="37.931812382790319"/>
    <n v="29"/>
    <n v="163"/>
    <n v="3550.2184327809919"/>
    <s v="Non-binary"/>
    <n v="0"/>
    <n v="8"/>
    <n v="58"/>
    <n v="8"/>
    <s v="Carrier B"/>
    <n v="990"/>
    <x v="4"/>
    <s v="Bangalore"/>
    <n v="375"/>
    <n v="18"/>
    <n v="97.113581563462205"/>
    <s v="Fail"/>
    <n v="1.9834678721741801"/>
    <x v="2"/>
    <x v="2"/>
    <n v="299.70630311810316"/>
    <n v="1386.8198846815656"/>
    <n v="2163.3985480994261"/>
    <s v=""/>
    <n v="21.780481182705472"/>
    <n v="6.0736196319018401"/>
    <n v="34"/>
  </r>
  <r>
    <x v="1"/>
    <s v="SKU69"/>
    <n v="54.865528517069791"/>
    <n v="62"/>
    <n v="511"/>
    <n v="1752.3810874841247"/>
    <s v="Non-binary"/>
    <n v="95"/>
    <n v="1"/>
    <n v="27"/>
    <n v="3"/>
    <s v="Carrier B"/>
    <n v="944"/>
    <x v="3"/>
    <s v="Kolkata"/>
    <n v="862"/>
    <n v="7"/>
    <n v="77.627765812748166"/>
    <s v="Pending"/>
    <n v="1.3623879886491086"/>
    <x v="1"/>
    <x v="2"/>
    <n v="207.66320620857562"/>
    <n v="1229.2909720213236"/>
    <n v="523.09011546280112"/>
    <n v="5.3789473684210529"/>
    <n v="3.4293171966421228"/>
    <n v="1.847358121330724"/>
    <n v="11"/>
  </r>
  <r>
    <x v="0"/>
    <s v="SKU70"/>
    <n v="47.914541824058766"/>
    <n v="90"/>
    <n v="32"/>
    <n v="7014.8879872033885"/>
    <s v="Female"/>
    <n v="10"/>
    <n v="12"/>
    <n v="22"/>
    <n v="4"/>
    <s v="Carrier B"/>
    <n v="600"/>
    <x v="1"/>
    <s v="Bangalore"/>
    <n v="775"/>
    <n v="16"/>
    <n v="11.440781823761265"/>
    <s v="Pass"/>
    <n v="1.8305755986122314"/>
    <x v="0"/>
    <x v="1"/>
    <n v="183.27289874871101"/>
    <n v="794.7136805724723"/>
    <n v="6220.1743066309164"/>
    <n v="3.2"/>
    <n v="219.21524960010589"/>
    <n v="18.75"/>
    <n v="32"/>
  </r>
  <r>
    <x v="2"/>
    <s v="SKU71"/>
    <n v="6.3815331627479663"/>
    <n v="14"/>
    <n v="637"/>
    <n v="8180.3370854254426"/>
    <s v="Female"/>
    <n v="76"/>
    <n v="2"/>
    <n v="26"/>
    <n v="6"/>
    <s v="Carrier A"/>
    <n v="898"/>
    <x v="4"/>
    <s v="Bangalore"/>
    <n v="258"/>
    <n v="10"/>
    <n v="30.661677477859556"/>
    <s v="Pending"/>
    <n v="2.0787506078749689"/>
    <x v="0"/>
    <x v="2"/>
    <n v="405.16706788885585"/>
    <n v="1333.8287453667153"/>
    <n v="6846.5083400587273"/>
    <n v="8.3815789473684212"/>
    <n v="12.84197344650776"/>
    <n v="1.4097331240188382"/>
    <n v="18"/>
  </r>
  <r>
    <x v="2"/>
    <s v="SKU72"/>
    <n v="90.204427520528071"/>
    <n v="88"/>
    <n v="478"/>
    <n v="2633.1219813122557"/>
    <s v="Non-binary"/>
    <n v="57"/>
    <n v="29"/>
    <n v="77"/>
    <n v="9"/>
    <s v="Carrier A"/>
    <n v="122"/>
    <x v="1"/>
    <s v="Bangalore"/>
    <n v="152"/>
    <n v="11"/>
    <n v="55.760492895244212"/>
    <s v="Pending"/>
    <n v="3.2133296074383089"/>
    <x v="2"/>
    <x v="0"/>
    <n v="677.9445698461833"/>
    <n v="855.70506274142747"/>
    <n v="1777.4169185708283"/>
    <n v="8.3859649122807021"/>
    <n v="5.5086233918666441"/>
    <n v="0.25523012552301255"/>
    <n v="49"/>
  </r>
  <r>
    <x v="2"/>
    <s v="SKU73"/>
    <n v="83.851017681304597"/>
    <n v="41"/>
    <n v="375"/>
    <n v="7910.8869161406856"/>
    <s v="Male"/>
    <n v="17"/>
    <n v="25"/>
    <n v="66"/>
    <n v="5"/>
    <s v="Carrier B"/>
    <n v="222"/>
    <x v="3"/>
    <s v="Chennai"/>
    <n v="444"/>
    <n v="4"/>
    <n v="46.870238797617155"/>
    <s v="Fail"/>
    <n v="4.6205460645137064"/>
    <x v="0"/>
    <x v="2"/>
    <n v="866.4728001296578"/>
    <n v="1135.3430389272748"/>
    <n v="6775.5438772134112"/>
    <n v="22.058823529411764"/>
    <n v="21.09569844304183"/>
    <n v="0.59199999999999997"/>
    <n v="34"/>
  </r>
  <r>
    <x v="0"/>
    <s v="SKU74"/>
    <n v="3.1700114135661548"/>
    <n v="64"/>
    <n v="904"/>
    <n v="5709.9452959692871"/>
    <s v="Female"/>
    <n v="41"/>
    <n v="6"/>
    <n v="1"/>
    <n v="5"/>
    <s v="Carrier A"/>
    <n v="738"/>
    <x v="3"/>
    <s v="Delhi"/>
    <n v="919"/>
    <n v="9"/>
    <n v="80.580852156447818"/>
    <s v="Fail"/>
    <n v="0.39661272410993542"/>
    <x v="2"/>
    <x v="2"/>
    <n v="341.55265678322337"/>
    <n v="1160.1335089396714"/>
    <n v="4549.8117870296155"/>
    <n v="22.048780487804876"/>
    <n v="6.3163111681076183"/>
    <n v="0.8163716814159292"/>
    <n v="20"/>
  </r>
  <r>
    <x v="1"/>
    <s v="SKU75"/>
    <n v="92.996884233970661"/>
    <n v="29"/>
    <n v="106"/>
    <n v="1889.073589779335"/>
    <s v="Non-binary"/>
    <n v="16"/>
    <n v="20"/>
    <n v="56"/>
    <n v="10"/>
    <s v="Carrier C"/>
    <n v="876"/>
    <x v="1"/>
    <s v="Chennai"/>
    <n v="759"/>
    <n v="11"/>
    <n v="48.064782640006591"/>
    <s v="Pass"/>
    <n v="2.0300690886687516"/>
    <x v="1"/>
    <x v="1"/>
    <n v="873.12964801765145"/>
    <n v="1797.1944306576581"/>
    <n v="91.879159121676821"/>
    <n v="6.625"/>
    <n v="17.821448960182405"/>
    <n v="8.2641509433962259"/>
    <n v="41"/>
  </r>
  <r>
    <x v="0"/>
    <s v="SKU76"/>
    <n v="69.108799547430323"/>
    <n v="23"/>
    <n v="241"/>
    <n v="5328.3759842977579"/>
    <s v="Male"/>
    <n v="38"/>
    <n v="1"/>
    <n v="22"/>
    <n v="10"/>
    <s v="Carrier A"/>
    <n v="155"/>
    <x v="4"/>
    <s v="Bangalore"/>
    <n v="985"/>
    <n v="24"/>
    <n v="64.323597795600222"/>
    <s v="Pending"/>
    <n v="2.1800374515822165"/>
    <x v="2"/>
    <x v="2"/>
    <n v="997.4134501331946"/>
    <n v="1216.7370479287947"/>
    <n v="4111.6389363689632"/>
    <n v="6.3421052631578947"/>
    <n v="22.109443918247958"/>
    <n v="0.6431535269709544"/>
    <n v="35"/>
  </r>
  <r>
    <x v="0"/>
    <s v="SKU77"/>
    <n v="57.449742958971477"/>
    <n v="14"/>
    <n v="359"/>
    <n v="2483.7601775427947"/>
    <s v="Unknown"/>
    <n v="96"/>
    <n v="28"/>
    <n v="57"/>
    <n v="4"/>
    <s v="Carrier B"/>
    <n v="526"/>
    <x v="1"/>
    <s v="Kolkata"/>
    <n v="334"/>
    <n v="5"/>
    <n v="42.952444748991837"/>
    <s v="Pass"/>
    <n v="3.0551418183075478"/>
    <x v="0"/>
    <x v="0"/>
    <n v="852.56809891984994"/>
    <n v="1421.5205436688418"/>
    <n v="1062.2396338739529"/>
    <n v="3.7395833333333335"/>
    <n v="6.918552026581601"/>
    <n v="1.4651810584958218"/>
    <n v="37"/>
  </r>
  <r>
    <x v="0"/>
    <s v="SKU78"/>
    <n v="6.3068831761119153"/>
    <n v="50"/>
    <n v="946"/>
    <n v="1292.4584179377562"/>
    <s v="Unknown"/>
    <n v="5"/>
    <n v="4"/>
    <n v="51"/>
    <n v="5"/>
    <s v="Carrier B"/>
    <n v="511"/>
    <x v="2"/>
    <s v="Mumbai"/>
    <n v="858"/>
    <n v="21"/>
    <n v="71.126514720403378"/>
    <s v="Pending"/>
    <n v="4.0968813324704518"/>
    <x v="3"/>
    <x v="1"/>
    <n v="323.59220343132216"/>
    <n v="905.71871815172551"/>
    <n v="386.73969978603066"/>
    <n v="189.2"/>
    <n v="1.366235114099108"/>
    <n v="0.54016913319238902"/>
    <n v="30"/>
  </r>
  <r>
    <x v="0"/>
    <s v="SKU79"/>
    <n v="57.057031221103223"/>
    <n v="56"/>
    <n v="198"/>
    <n v="7888.7232684270812"/>
    <s v="Non-binary"/>
    <n v="31"/>
    <n v="25"/>
    <n v="20"/>
    <n v="1"/>
    <s v="Carrier B"/>
    <n v="1160"/>
    <x v="0"/>
    <s v="Bangalore"/>
    <n v="228"/>
    <n v="12"/>
    <n v="57.87090292403628"/>
    <s v="Pending"/>
    <n v="0.16587162748060824"/>
    <x v="1"/>
    <x v="1"/>
    <n v="351.50421933503867"/>
    <n v="1569.3751222590749"/>
    <n v="6319.3481461680058"/>
    <n v="6.387096774193548"/>
    <n v="39.842036709227685"/>
    <n v="5.858585858585859"/>
    <n v="38"/>
  </r>
  <r>
    <x v="1"/>
    <s v="SKU80"/>
    <n v="91.128318350444331"/>
    <n v="75"/>
    <n v="872"/>
    <n v="8651.6726829820655"/>
    <s v="Unknown"/>
    <n v="39"/>
    <n v="14"/>
    <n v="41"/>
    <n v="2"/>
    <s v="Carrier C"/>
    <n v="862"/>
    <x v="0"/>
    <s v="Chennai"/>
    <n v="202"/>
    <n v="5"/>
    <n v="76.961228023820013"/>
    <s v="Fail"/>
    <n v="2.8496621985053308"/>
    <x v="3"/>
    <x v="0"/>
    <n v="787.77985049434449"/>
    <n v="1726.7410785181644"/>
    <n v="6924.9316044639008"/>
    <n v="22.358974358974358"/>
    <n v="9.9216429850711751"/>
    <n v="0.98853211009174313"/>
    <n v="21"/>
  </r>
  <r>
    <x v="0"/>
    <s v="SKU81"/>
    <n v="72.819206930318217"/>
    <n v="9"/>
    <n v="774"/>
    <n v="4384.4134000458625"/>
    <s v="Unknown"/>
    <n v="48"/>
    <n v="6"/>
    <n v="8"/>
    <n v="5"/>
    <s v="Carrier B"/>
    <n v="147"/>
    <x v="0"/>
    <s v="Delhi"/>
    <n v="698"/>
    <n v="1"/>
    <n v="19.789592941903603"/>
    <s v="Pending"/>
    <n v="2.5475471215487118"/>
    <x v="2"/>
    <x v="0"/>
    <n v="276.77833594679885"/>
    <n v="443.56792888870245"/>
    <n v="3940.8454711571603"/>
    <n v="16.125"/>
    <n v="5.6646167959248874"/>
    <n v="0.18992248062015504"/>
    <n v="12"/>
  </r>
  <r>
    <x v="1"/>
    <s v="SKU82"/>
    <n v="17.034930739467917"/>
    <n v="13"/>
    <n v="336"/>
    <n v="2943.3818676094515"/>
    <s v="Unknown"/>
    <n v="42"/>
    <n v="19"/>
    <n v="72"/>
    <n v="1"/>
    <s v="Carrier A"/>
    <n v="868"/>
    <x v="4"/>
    <s v="Mumbai"/>
    <n v="955"/>
    <n v="26"/>
    <n v="4.4652784349432402"/>
    <s v="Pending"/>
    <n v="4.1378770486223573"/>
    <x v="0"/>
    <x v="1"/>
    <n v="589.97855562804068"/>
    <n v="1462.443834062984"/>
    <n v="1480.9380335464675"/>
    <n v="8"/>
    <n v="8.7600650821709873"/>
    <n v="2.5833333333333335"/>
    <n v="46"/>
  </r>
  <r>
    <x v="0"/>
    <s v="SKU83"/>
    <n v="68.911246211606326"/>
    <n v="82"/>
    <n v="663"/>
    <n v="2411.754632110491"/>
    <s v="Unknown"/>
    <n v="65"/>
    <n v="24"/>
    <n v="7"/>
    <n v="8"/>
    <s v="Carrier B"/>
    <n v="332"/>
    <x v="1"/>
    <s v="Bangalore"/>
    <n v="443"/>
    <n v="5"/>
    <n v="97.730593800533043"/>
    <s v="Fail"/>
    <n v="0.77300613406724783"/>
    <x v="0"/>
    <x v="2"/>
    <n v="682.97101822609329"/>
    <n v="1112.7016120266264"/>
    <n v="1299.0530200838646"/>
    <n v="10.199999999999999"/>
    <n v="3.6376389624592624"/>
    <n v="0.50075414781297134"/>
    <n v="37"/>
  </r>
  <r>
    <x v="0"/>
    <s v="SKU84"/>
    <n v="89.104367292102253"/>
    <n v="99"/>
    <n v="618"/>
    <n v="2048.2900998487103"/>
    <s v="Unknown"/>
    <n v="73"/>
    <n v="26"/>
    <n v="80"/>
    <n v="10"/>
    <s v="Carrier A"/>
    <n v="1191"/>
    <x v="2"/>
    <s v="Chennai"/>
    <n v="589"/>
    <n v="22"/>
    <n v="33.808636513209095"/>
    <s v="Pass"/>
    <n v="4.8434565771180411"/>
    <x v="1"/>
    <x v="0"/>
    <n v="465.45700596368795"/>
    <n v="1690.2656424768973"/>
    <n v="358.02445737181301"/>
    <n v="8.4657534246575334"/>
    <n v="3.3143852748361007"/>
    <n v="1.9271844660194175"/>
    <n v="58"/>
  </r>
  <r>
    <x v="2"/>
    <s v="SKU85"/>
    <n v="76.962994415193876"/>
    <n v="83"/>
    <n v="25"/>
    <n v="8684.6130592538575"/>
    <s v="Female"/>
    <n v="15"/>
    <n v="18"/>
    <n v="66"/>
    <n v="2"/>
    <s v="Carrier C"/>
    <n v="352"/>
    <x v="2"/>
    <s v="Chennai"/>
    <n v="211"/>
    <n v="2"/>
    <n v="69.929345518672307"/>
    <s v="Fail"/>
    <n v="1.3744289997457582"/>
    <x v="0"/>
    <x v="0"/>
    <n v="842.68683000464148"/>
    <n v="1264.6161755233138"/>
    <n v="7419.9968837305441"/>
    <n v="1.6666666666666667"/>
    <n v="347.38452237015429"/>
    <n v="14.08"/>
    <n v="22"/>
  </r>
  <r>
    <x v="1"/>
    <s v="SKU86"/>
    <n v="19.998176940404221"/>
    <n v="18"/>
    <n v="223"/>
    <n v="1229.5910285649834"/>
    <s v="Unknown"/>
    <n v="32"/>
    <n v="14"/>
    <n v="22"/>
    <n v="6"/>
    <s v="Carrier B"/>
    <n v="821"/>
    <x v="1"/>
    <s v="Mumbai"/>
    <n v="569"/>
    <n v="18"/>
    <n v="74.608969995194684"/>
    <s v="Pass"/>
    <n v="2.0515129307662465"/>
    <x v="2"/>
    <x v="2"/>
    <n v="264.25488983586649"/>
    <n v="1159.8638598310611"/>
    <n v="69.727168733922326"/>
    <n v="6.96875"/>
    <n v="5.5138611146411813"/>
    <n v="3.6816143497757849"/>
    <n v="38"/>
  </r>
  <r>
    <x v="0"/>
    <s v="SKU87"/>
    <n v="80.41403665035574"/>
    <n v="24"/>
    <n v="79"/>
    <n v="5133.8467010866916"/>
    <s v="Male"/>
    <n v="5"/>
    <n v="7"/>
    <n v="55"/>
    <n v="10"/>
    <s v="Carrier A"/>
    <n v="1030"/>
    <x v="0"/>
    <s v="Chennai"/>
    <n v="523"/>
    <n v="17"/>
    <n v="28.69699682414317"/>
    <s v="Fail"/>
    <n v="3.6937377878392756"/>
    <x v="3"/>
    <x v="0"/>
    <n v="879.3592177349243"/>
    <n v="1938.0562145590673"/>
    <n v="3195.7904865276241"/>
    <n v="15.8"/>
    <n v="64.985401279578369"/>
    <n v="13.037974683544304"/>
    <n v="34"/>
  </r>
  <r>
    <x v="2"/>
    <s v="SKU88"/>
    <n v="75.27040697572501"/>
    <n v="58"/>
    <n v="737"/>
    <n v="9444.7420330629793"/>
    <s v="Male"/>
    <n v="60"/>
    <n v="18"/>
    <n v="85"/>
    <n v="7"/>
    <s v="Carrier A"/>
    <n v="849"/>
    <x v="4"/>
    <s v="Mumbai"/>
    <n v="953"/>
    <n v="11"/>
    <n v="68.184919057041171"/>
    <s v="Pending"/>
    <n v="0.722204401882931"/>
    <x v="3"/>
    <x v="2"/>
    <n v="103.91624796070495"/>
    <n v="1021.1011670177461"/>
    <n v="8423.6408660452325"/>
    <n v="12.283333333333333"/>
    <n v="12.815118090994545"/>
    <n v="1.1519674355495251"/>
    <n v="36"/>
  </r>
  <r>
    <x v="2"/>
    <s v="SKU89"/>
    <n v="97.760085581938668"/>
    <n v="10"/>
    <n v="134"/>
    <n v="5924.682566853231"/>
    <s v="Unknown"/>
    <n v="90"/>
    <n v="1"/>
    <n v="27"/>
    <n v="8"/>
    <s v="Carrier B"/>
    <n v="1126"/>
    <x v="1"/>
    <s v="Kolkata"/>
    <n v="370"/>
    <n v="11"/>
    <n v="46.603873381644469"/>
    <s v="Pending"/>
    <n v="1.9076657339590746"/>
    <x v="2"/>
    <x v="0"/>
    <n v="517.4999739290605"/>
    <n v="1690.1038473107051"/>
    <n v="4234.5787195425255"/>
    <n v="1.4888888888888889"/>
    <n v="44.214049006367397"/>
    <n v="8.4029850746268657"/>
    <n v="20"/>
  </r>
  <r>
    <x v="1"/>
    <s v="SKU90"/>
    <n v="13.881913501359142"/>
    <n v="56"/>
    <n v="320"/>
    <n v="9592.6335702803117"/>
    <s v="Non-binary"/>
    <n v="66"/>
    <n v="18"/>
    <n v="96"/>
    <n v="7"/>
    <s v="Carrier B"/>
    <n v="176"/>
    <x v="0"/>
    <s v="Bangalore"/>
    <n v="585"/>
    <n v="8"/>
    <n v="85.675963335797974"/>
    <s v="Pass"/>
    <n v="1.2193822244013885"/>
    <x v="2"/>
    <x v="0"/>
    <n v="990.07847250581119"/>
    <n v="1251.7544358416089"/>
    <n v="8340.8791344387027"/>
    <n v="4.8484848484848486"/>
    <n v="29.976979907125973"/>
    <n v="0.55000000000000004"/>
    <n v="33"/>
  </r>
  <r>
    <x v="2"/>
    <s v="SKU91"/>
    <n v="62.111965463961788"/>
    <n v="90"/>
    <n v="916"/>
    <n v="1935.2067935075991"/>
    <s v="Male"/>
    <n v="98"/>
    <n v="22"/>
    <n v="85"/>
    <n v="7"/>
    <s v="Carrier B"/>
    <n v="553"/>
    <x v="3"/>
    <s v="Delhi"/>
    <n v="207"/>
    <n v="28"/>
    <n v="39.772882502339975"/>
    <s v="Pending"/>
    <n v="0.62600185820939458"/>
    <x v="2"/>
    <x v="0"/>
    <n v="996.77831495062378"/>
    <n v="1589.5511974529638"/>
    <n v="345.65559605463523"/>
    <n v="9.3469387755102034"/>
    <n v="2.1126711719515274"/>
    <n v="0.60371179039301315"/>
    <n v="57"/>
  </r>
  <r>
    <x v="2"/>
    <s v="SKU92"/>
    <n v="47.714233075820232"/>
    <n v="44"/>
    <n v="276"/>
    <n v="2100.1297546259366"/>
    <s v="Male"/>
    <n v="90"/>
    <n v="25"/>
    <n v="10"/>
    <n v="8"/>
    <s v="Carrier B"/>
    <n v="535"/>
    <x v="4"/>
    <s v="Mumbai"/>
    <n v="671"/>
    <n v="29"/>
    <n v="62.612690395614344"/>
    <s v="Pass"/>
    <n v="0.33343182522473924"/>
    <x v="2"/>
    <x v="0"/>
    <n v="230.09278253676294"/>
    <n v="827.70547293237723"/>
    <n v="1272.4242816935594"/>
    <n v="3.0666666666666669"/>
    <n v="7.6091657776302046"/>
    <n v="1.9384057971014492"/>
    <n v="62"/>
  </r>
  <r>
    <x v="0"/>
    <s v="SKU93"/>
    <n v="69.290831002905492"/>
    <n v="88"/>
    <n v="114"/>
    <n v="4531.4021336919095"/>
    <s v="Unknown"/>
    <n v="63"/>
    <n v="17"/>
    <n v="66"/>
    <n v="1"/>
    <s v="Carrier C"/>
    <n v="144"/>
    <x v="3"/>
    <s v="Chennai"/>
    <n v="824"/>
    <n v="20"/>
    <n v="35.633652343343876"/>
    <s v="Fail"/>
    <n v="4.1657817954241452"/>
    <x v="1"/>
    <x v="2"/>
    <n v="823.52384588815585"/>
    <n v="1003.1574982314997"/>
    <n v="3528.2446354604099"/>
    <n v="1.8095238095238095"/>
    <n v="39.74914152361324"/>
    <n v="1.263157894736842"/>
    <n v="38"/>
  </r>
  <r>
    <x v="2"/>
    <s v="SKU94"/>
    <n v="3.0376887246314141"/>
    <n v="97"/>
    <n v="987"/>
    <n v="7888.3565466618729"/>
    <s v="Unknown"/>
    <n v="77"/>
    <n v="26"/>
    <n v="72"/>
    <n v="9"/>
    <s v="Carrier B"/>
    <n v="199"/>
    <x v="4"/>
    <s v="Delhi"/>
    <n v="908"/>
    <n v="14"/>
    <n v="60.387378614862122"/>
    <s v="Pass"/>
    <n v="1.4636074984727798"/>
    <x v="2"/>
    <x v="0"/>
    <n v="846.66525698669477"/>
    <n v="1106.0526356015569"/>
    <n v="6782.3039110603158"/>
    <n v="12.818181818181818"/>
    <n v="7.9922558730110165"/>
    <n v="0.2016210739614995"/>
    <n v="49"/>
  </r>
  <r>
    <x v="0"/>
    <s v="SKU95"/>
    <n v="77.903927219447752"/>
    <n v="65"/>
    <n v="672"/>
    <n v="7386.3639440486641"/>
    <s v="Unknown"/>
    <n v="15"/>
    <n v="14"/>
    <n v="26"/>
    <n v="9"/>
    <s v="Carrier B"/>
    <n v="782"/>
    <x v="3"/>
    <s v="Mumbai"/>
    <n v="450"/>
    <n v="26"/>
    <n v="58.890685768589982"/>
    <s v="Pending"/>
    <n v="1.2108821295850665"/>
    <x v="1"/>
    <x v="2"/>
    <n v="778.8642413766479"/>
    <n v="1619.7549271452378"/>
    <n v="5766.609016903426"/>
    <n v="44.8"/>
    <n v="10.991613011977179"/>
    <n v="1.1636904761904763"/>
    <n v="49"/>
  </r>
  <r>
    <x v="2"/>
    <s v="SKU96"/>
    <n v="24.42313142037338"/>
    <n v="29"/>
    <n v="324"/>
    <n v="7698.4247656321168"/>
    <s v="Non-binary"/>
    <n v="67"/>
    <n v="2"/>
    <n v="32"/>
    <n v="3"/>
    <s v="Carrier C"/>
    <n v="370"/>
    <x v="0"/>
    <s v="Mumbai"/>
    <n v="648"/>
    <n v="28"/>
    <n v="17.80375633139127"/>
    <s v="Pending"/>
    <n v="3.8720476814821332"/>
    <x v="0"/>
    <x v="2"/>
    <n v="188.74214114905698"/>
    <n v="576.54589748044828"/>
    <n v="7121.8788681516689"/>
    <n v="4.8358208955223878"/>
    <n v="23.760570264296657"/>
    <n v="1.1419753086419753"/>
    <n v="33"/>
  </r>
  <r>
    <x v="0"/>
    <s v="SKU97"/>
    <n v="3.5261112591434158"/>
    <n v="56"/>
    <n v="62"/>
    <n v="4370.9165799845359"/>
    <s v="Male"/>
    <n v="46"/>
    <n v="19"/>
    <n v="4"/>
    <n v="9"/>
    <s v="Carrier A"/>
    <n v="508"/>
    <x v="3"/>
    <s v="Mumbai"/>
    <n v="535"/>
    <n v="13"/>
    <n v="65.765155926367456"/>
    <s v="Fail"/>
    <n v="3.3762378347179811"/>
    <x v="0"/>
    <x v="2"/>
    <n v="540.13242286796776"/>
    <n v="1113.8975787943352"/>
    <n v="3257.0190011902005"/>
    <n v="1.3478260869565217"/>
    <n v="70.498654515879608"/>
    <n v="8.193548387096774"/>
    <n v="41"/>
  </r>
  <r>
    <x v="1"/>
    <s v="SKU98"/>
    <n v="19.754604866878601"/>
    <n v="43"/>
    <n v="913"/>
    <n v="8525.9525596835265"/>
    <s v="Female"/>
    <n v="53"/>
    <n v="1"/>
    <n v="27"/>
    <n v="7"/>
    <s v="Carrier B"/>
    <n v="1109"/>
    <x v="2"/>
    <s v="Chennai"/>
    <n v="581"/>
    <n v="9"/>
    <n v="5.604690864371781"/>
    <s v="Pending"/>
    <n v="2.9081221693512611"/>
    <x v="2"/>
    <x v="2"/>
    <n v="882.19886354704147"/>
    <n v="1996.8035544114134"/>
    <n v="6529.1490052721128"/>
    <n v="17.226415094339622"/>
    <n v="9.3383927269260969"/>
    <n v="1.2146768893756845"/>
    <n v="17"/>
  </r>
  <r>
    <x v="0"/>
    <s v="SKU99"/>
    <n v="68.517832699276639"/>
    <n v="17"/>
    <n v="627"/>
    <n v="9185.1858291817043"/>
    <s v="Unknown"/>
    <n v="55"/>
    <n v="8"/>
    <n v="59"/>
    <n v="6"/>
    <s v="Carrier B"/>
    <n v="228"/>
    <x v="4"/>
    <s v="Chennai"/>
    <n v="921"/>
    <n v="2"/>
    <n v="38.07289852062604"/>
    <s v="Fail"/>
    <n v="0.34602729070550342"/>
    <x v="2"/>
    <x v="0"/>
    <n v="210.74300896424614"/>
    <n v="476.81590748487218"/>
    <n v="8708.3699216968325"/>
    <n v="11.4"/>
    <n v="14.649419185297774"/>
    <n v="0.36363636363636365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DBB24-065F-4107-BFAA-481598F551E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J8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6">
        <item x="1"/>
        <item x="4"/>
        <item x="0"/>
        <item x="3"/>
        <item x="2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Supplier Lead time" fld="8" subtotal="average" baseField="13" baseItem="0" numFmtId="2"/>
    <dataField name="Avg Defect Rates (%)" fld="19" subtotal="average" baseField="13" baseItem="0" numFmtId="2"/>
    <dataField name="Avg Manufacturing Costs" fld="17" subtotal="average" baseField="13" baseItem="0"/>
    <dataField name="Total Production Volumes" fld="15" baseField="13" baseItem="0"/>
  </dataFields>
  <formats count="8">
    <format dxfId="22">
      <pivotArea collapsedLevelsAreSubtotals="1" fieldPosition="0">
        <references count="2">
          <reference field="4294967294" count="1" selected="0">
            <x v="2"/>
          </reference>
          <reference field="13" count="1">
            <x v="0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2"/>
          </reference>
          <reference field="13" count="1">
            <x v="1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2"/>
          </reference>
          <reference field="13" count="1">
            <x v="2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2"/>
          </reference>
          <reference field="13" count="1">
            <x v="3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2"/>
          </reference>
          <reference field="13" count="1">
            <x v="4"/>
          </reference>
        </references>
      </pivotArea>
    </format>
    <format dxfId="17">
      <pivotArea field="1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77A4C-5499-467F-8B76-85C638A0396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A2:C6" firstHeaderRow="0" firstDataRow="1" firstDataCol="1"/>
  <pivotFields count="29">
    <pivotField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5" baseField="0" baseItem="0"/>
    <dataField name="Total Units Sold" fld="4" baseField="0" baseItem="0"/>
  </dataFields>
  <formats count="10">
    <format dxfId="32">
      <pivotArea outline="0" fieldPosition="0">
        <references count="1">
          <reference field="4294967294" count="1" selected="0">
            <x v="0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9">
      <pivotArea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28">
      <pivotArea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27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  <format dxfId="26">
      <pivotArea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25">
      <pivotArea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24">
      <pivotArea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23">
      <pivotArea field="0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35B46-E0DA-4271-AEF9-B0BC1790420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4" firstHeaderRow="1" firstDataRow="1" firstDataCol="1"/>
  <pivotFields count="29">
    <pivotField axis="axisRow" showAll="0" sortType="ascending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Defect Rate (%)" fld="19" subtotal="average" baseField="0" baseItem="0" numFmtId="2"/>
  </dataFields>
  <formats count="2">
    <format dxfId="34">
      <pivotArea outline="0" collapsedLevelsAreSubtotals="1" fieldPosition="0"/>
    </format>
    <format dxfId="33">
      <pivotArea collapsedLevelsAreSubtotals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C6259-347D-48F0-8C81-022756ED87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I15" firstHeaderRow="0" firstDataRow="1" firstDataCol="1"/>
  <pivotFields count="2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Shipping Costs" fld="12" subtotal="average" baseField="22" baseItem="0"/>
    <dataField name="Avg Shipping Times" fld="10" subtotal="average" baseField="22" baseItem="0"/>
    <dataField name="Total Revenue" fld="5" baseField="21" baseItem="0"/>
  </dataFields>
  <formats count="9">
    <format dxfId="43">
      <pivotArea collapsedLevelsAreSubtotals="1" fieldPosition="0">
        <references count="2">
          <reference field="4294967294" count="1" selected="0">
            <x v="2"/>
          </reference>
          <reference field="21" count="1">
            <x v="0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2"/>
          </reference>
          <reference field="21" count="1">
            <x v="1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2"/>
          </reference>
          <reference field="21" count="1">
            <x v="2"/>
          </reference>
        </references>
      </pivotArea>
    </format>
    <format dxfId="40">
      <pivotArea field="2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0"/>
          </reference>
          <reference field="21" count="1">
            <x v="0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0"/>
          </reference>
          <reference field="21" count="1">
            <x v="1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0"/>
          </reference>
          <reference field="21" count="1">
            <x v="2"/>
          </reference>
        </references>
      </pivotArea>
    </format>
    <format dxfId="36">
      <pivotArea field="2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21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3A92C-9356-4C8D-9007-ED382DD7A17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6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Shipping Times" fld="10" subtotal="average" baseField="21" baseItem="0" numFmtId="2"/>
    <dataField name="Avg Shipping Costs" fld="12" subtotal="average" baseField="21" baseItem="0"/>
    <dataField name="Total Shipping Costs" fld="12" baseField="21" baseItem="0"/>
  </dataFields>
  <formats count="11">
    <format dxfId="54">
      <pivotArea collapsedLevelsAreSubtotals="1" fieldPosition="0">
        <references count="2">
          <reference field="4294967294" count="1" selected="0">
            <x v="1"/>
          </reference>
          <reference field="20" count="1">
            <x v="0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1"/>
          </reference>
          <reference field="20" count="1">
            <x v="1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1"/>
          </reference>
          <reference field="20" count="1">
            <x v="2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1"/>
          </reference>
          <reference field="20" count="1">
            <x v="3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2"/>
          </reference>
          <reference field="20" count="1">
            <x v="0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2"/>
          </reference>
          <reference field="20" count="1">
            <x v="1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2"/>
          </reference>
          <reference field="20" count="1">
            <x v="2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2"/>
          </reference>
          <reference field="20" count="1">
            <x v="3"/>
          </reference>
        </references>
      </pivotArea>
    </format>
    <format dxfId="46">
      <pivotArea field="2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5">
      <pivotArea field="2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CAC48-A23B-4090-A4C5-8FD95CD6856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6:C10" firstHeaderRow="0" firstDataRow="1" firstDataCol="1"/>
  <pivotFields count="29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5" baseField="0" baseItem="0"/>
    <dataField name="Total Estimated Profit" fld="24" baseField="0" baseItem="0" numFmtId="164"/>
  </dataFields>
  <formats count="3">
    <format dxfId="14">
      <pivotArea dataOnly="0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48F8C-D54B-4588-98D8-DECBA9983C6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C11" firstHeaderRow="0" firstDataRow="1" firstDataCol="1"/>
  <pivotFields count="30"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. of products sold" fld="4" baseField="0" baseItem="0"/>
    <dataField name="Total Stock level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45A61-C281-4A99-A0D1-1066F7E985B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5" firstHeaderRow="0" firstDataRow="1" firstDataCol="1"/>
  <pivotFields count="29">
    <pivotField axis="axisRow" showAll="0" sortType="descending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 generated" fld="5" baseField="0" baseItem="0" numFmtId="164"/>
    <dataField name="Total Estimated Profit" fld="24" baseField="0" baseItem="0" numFmtId="164"/>
    <dataField name="Avg Defect rates (%)" fld="19" subtotal="average" baseField="0" baseItem="0" numFmtId="2"/>
  </dataFields>
  <formats count="3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7912D5-E096-4FCE-89C5-67D4E6D82207}" autoFormatId="16" applyNumberFormats="0" applyBorderFormats="0" applyFontFormats="0" applyPatternFormats="0" applyAlignmentFormats="0" applyWidthHeightFormats="0">
  <queryTableRefresh nextId="34">
    <queryTableFields count="23">
      <queryTableField id="1" name="Product type" tableColumnId="1"/>
      <queryTableField id="2" name="SKU" tableColumnId="2"/>
      <queryTableField id="3" name="Price" tableColumnId="3"/>
      <queryTableField id="4" name="Availability" tableColumnId="4"/>
      <queryTableField id="5" name="Number of products sold" tableColumnId="5"/>
      <queryTableField id="6" name="Revenue generated" tableColumnId="6"/>
      <queryTableField id="7" name="Customer demographics" tableColumnId="7"/>
      <queryTableField id="8" name="Stock levels" tableColumnId="8"/>
      <queryTableField id="31" name="Shipping Lead time" tableColumnId="9"/>
      <queryTableField id="10" name="Order quantities" tableColumnId="10"/>
      <queryTableField id="11" name="Shipping times" tableColumnId="11"/>
      <queryTableField id="13" dataBound="0" tableColumnId="13"/>
      <queryTableField id="12" name="Shipping carriers" tableColumnId="12"/>
      <queryTableField id="14" name="Supplier name" tableColumnId="14"/>
      <queryTableField id="15" name="Location" tableColumnId="15"/>
      <queryTableField id="17" name="Production volumes" tableColumnId="17"/>
      <queryTableField id="18" name="Manufacturing lead time" tableColumnId="18"/>
      <queryTableField id="19" name="Manufacturing costs" tableColumnId="19"/>
      <queryTableField id="20" name="Inspection results" tableColumnId="20"/>
      <queryTableField id="21" name="Defect rates" tableColumnId="21"/>
      <queryTableField id="22" name="Transportation modes" tableColumnId="22"/>
      <queryTableField id="23" name="Routes" tableColumnId="23"/>
      <queryTableField id="24" name="Costs" tableColumnId="24"/>
    </queryTableFields>
    <queryTableDeletedFields count="4">
      <deletedField name="Lead time"/>
      <deletedField name="Shipping costs"/>
      <deletedField name="Lead time"/>
      <deletedField name="Shipping cost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C1112A6-8714-47D2-B6EC-F59FE57DADE4}" autoFormatId="16" applyNumberFormats="0" applyBorderFormats="0" applyFontFormats="0" applyPatternFormats="0" applyAlignmentFormats="0" applyWidthHeightFormats="0">
  <queryTableRefresh nextId="38" unboundColumnsRight="6">
    <queryTableFields count="29">
      <queryTableField id="1" name="Product type" tableColumnId="1"/>
      <queryTableField id="2" name="SKU" tableColumnId="2"/>
      <queryTableField id="3" name="Price" tableColumnId="3"/>
      <queryTableField id="4" name="Availability" tableColumnId="4"/>
      <queryTableField id="5" name="Number of products sold" tableColumnId="5"/>
      <queryTableField id="6" name="Revenue generated" tableColumnId="6"/>
      <queryTableField id="7" name="Customer demographics" tableColumnId="7"/>
      <queryTableField id="8" name="Stock levels" tableColumnId="8"/>
      <queryTableField id="35" name="Supplier Lead time" tableColumnId="9"/>
      <queryTableField id="10" name="Order quantities" tableColumnId="10"/>
      <queryTableField id="11" name="Shipping times" tableColumnId="11"/>
      <queryTableField id="12" name="Shipping carriers" tableColumnId="12"/>
      <queryTableField id="13" name="Shipping costs" tableColumnId="13"/>
      <queryTableField id="14" name="Supplier name" tableColumnId="14"/>
      <queryTableField id="15" name="Location" tableColumnId="15"/>
      <queryTableField id="17" name="Production volumes" tableColumnId="17"/>
      <queryTableField id="18" name="Manufacturing lead time" tableColumnId="18"/>
      <queryTableField id="19" name="Manufacturing costs" tableColumnId="19"/>
      <queryTableField id="20" name="Inspection results" tableColumnId="20"/>
      <queryTableField id="21" name="Defect rates" tableColumnId="21"/>
      <queryTableField id="22" name="Transportation modes" tableColumnId="22"/>
      <queryTableField id="23" name="Routes" tableColumnId="23"/>
      <queryTableField id="24" name="Costs" tableColumnId="24"/>
      <queryTableField id="25" dataBound="0" tableColumnId="25"/>
      <queryTableField id="26" dataBound="0" tableColumnId="26"/>
      <queryTableField id="28" dataBound="0" tableColumnId="28"/>
      <queryTableField id="30" dataBound="0" tableColumnId="30"/>
      <queryTableField id="31" dataBound="0" tableColumnId="31"/>
      <queryTableField id="37" dataBound="0" tableColumnId="29"/>
    </queryTableFields>
    <queryTableDeletedFields count="1">
      <deletedField name="Lead ti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B87E4-6AC7-43C5-A9CD-C6BDA640E597}" name="SupplyChain" displayName="SupplyChain" ref="A1:W101" tableType="queryTable" totalsRowShown="0">
  <autoFilter ref="A1:W101" xr:uid="{1A4B87E4-6AC7-43C5-A9CD-C6BDA640E597}"/>
  <tableColumns count="23">
    <tableColumn id="1" xr3:uid="{8530A8C4-80C4-4CEE-A56A-DA096D46490C}" uniqueName="1" name="Product type" queryTableFieldId="1" dataDxfId="81"/>
    <tableColumn id="2" xr3:uid="{F6D11B78-0F5E-4FFD-9DBB-E238BC554102}" uniqueName="2" name="SKU" queryTableFieldId="2" dataDxfId="80"/>
    <tableColumn id="3" xr3:uid="{04558D41-9DD4-46C0-A212-249933A76E9C}" uniqueName="3" name="Price" queryTableFieldId="3"/>
    <tableColumn id="4" xr3:uid="{00C3627B-C3DC-4E07-96EC-FAEB45F12D6F}" uniqueName="4" name="Availability" queryTableFieldId="4"/>
    <tableColumn id="5" xr3:uid="{5F3FB24B-C76E-4347-B103-D09EF377158F}" uniqueName="5" name="Number of products sold" queryTableFieldId="5"/>
    <tableColumn id="6" xr3:uid="{B8A7FD85-9023-4854-8E19-02E648E7F1C2}" uniqueName="6" name="Revenue generated" queryTableFieldId="6"/>
    <tableColumn id="7" xr3:uid="{20BA03B3-5F1C-4B24-B4D4-E2A343DFF4FE}" uniqueName="7" name="Customer demographics" queryTableFieldId="7" dataDxfId="79"/>
    <tableColumn id="8" xr3:uid="{ECBE32E0-A2E2-4C05-B8E9-66AD40F22114}" uniqueName="8" name="Stock levels" queryTableFieldId="8"/>
    <tableColumn id="9" xr3:uid="{2107BB08-4D7D-435B-83DC-A89893BACEB6}" uniqueName="9" name="Shipping Lead time" queryTableFieldId="31"/>
    <tableColumn id="10" xr3:uid="{D54885C7-1DE1-4637-8359-6E94EC34B520}" uniqueName="10" name="Order quantities" queryTableFieldId="10"/>
    <tableColumn id="11" xr3:uid="{FEB10200-8739-4448-8FA3-25E634731410}" uniqueName="11" name="Shipping times" queryTableFieldId="11"/>
    <tableColumn id="13" xr3:uid="{F0D03FFB-C661-458A-917A-C6E5A8A4A0C4}" uniqueName="13" name="Shipping costs" queryTableFieldId="13" dataDxfId="78"/>
    <tableColumn id="12" xr3:uid="{7E7593C8-B568-4A68-955C-7748F58E1358}" uniqueName="12" name="Shipping carriers" queryTableFieldId="12" dataDxfId="77"/>
    <tableColumn id="14" xr3:uid="{BE642270-B908-48BF-B231-1950AA04442A}" uniqueName="14" name="Supplier name" queryTableFieldId="14" dataDxfId="76"/>
    <tableColumn id="15" xr3:uid="{07DD540E-D44B-4584-AFDF-C1C4D13BA4DE}" uniqueName="15" name="Location" queryTableFieldId="15" dataDxfId="75"/>
    <tableColumn id="17" xr3:uid="{1D2A1104-697F-4876-9B43-FB529F0B682E}" uniqueName="17" name="Production volumes" queryTableFieldId="17"/>
    <tableColumn id="18" xr3:uid="{88791528-C135-447A-A101-B8ACCE9CFB4A}" uniqueName="18" name="Manufacturing lead time" queryTableFieldId="18"/>
    <tableColumn id="19" xr3:uid="{8B052CA2-BE43-41E7-A8A1-1A15DE6CCF64}" uniqueName="19" name="Manufacturing costs" queryTableFieldId="19"/>
    <tableColumn id="20" xr3:uid="{8605BAC3-4182-4ADC-81E4-66C7E4E68378}" uniqueName="20" name="Inspection results" queryTableFieldId="20" dataDxfId="74"/>
    <tableColumn id="21" xr3:uid="{3D64CB5B-CC28-45A9-9B7A-1A03CD908451}" uniqueName="21" name="Defect rates" queryTableFieldId="21"/>
    <tableColumn id="22" xr3:uid="{C8D6AD09-E388-4B7F-BB79-095BFEC560CF}" uniqueName="22" name="Transportation modes" queryTableFieldId="22" dataDxfId="73"/>
    <tableColumn id="23" xr3:uid="{B77D4345-E6AD-44BB-B6AA-FD13CE371753}" uniqueName="23" name="Routes" queryTableFieldId="23" dataDxfId="72"/>
    <tableColumn id="24" xr3:uid="{057BA501-7288-4183-B196-3DC7883EE51E}" uniqueName="24" name="Costs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62BCA0-1C36-4694-9C65-3745D6EEE91C}" name="SupplyChain4" displayName="SupplyChain4" ref="A1:AC101" tableType="queryTable" totalsRowShown="0">
  <autoFilter ref="A1:AC101" xr:uid="{4B62BCA0-1C36-4694-9C65-3745D6EEE91C}"/>
  <tableColumns count="29">
    <tableColumn id="1" xr3:uid="{BCFD247B-2B67-417D-AD1F-89895B017292}" uniqueName="1" name="Product type" queryTableFieldId="1" dataDxfId="71"/>
    <tableColumn id="2" xr3:uid="{41F2DD32-45DA-4F06-9B67-5C593FD8E8F6}" uniqueName="2" name="SKU" queryTableFieldId="2" dataDxfId="70"/>
    <tableColumn id="3" xr3:uid="{B1418248-3F50-4D61-B7C0-4160F73F899C}" uniqueName="3" name="Price" queryTableFieldId="3"/>
    <tableColumn id="4" xr3:uid="{4C23B46D-3590-4FBE-BF53-379AFB0625D4}" uniqueName="4" name="Availability" queryTableFieldId="4"/>
    <tableColumn id="5" xr3:uid="{33FFE79B-6B78-4717-87C9-C0F950BE3291}" uniqueName="5" name="Number of products sold" queryTableFieldId="5"/>
    <tableColumn id="6" xr3:uid="{1D0DDF86-1C0F-4B41-B01F-388BB72C111C}" uniqueName="6" name="Revenue generated" queryTableFieldId="6"/>
    <tableColumn id="7" xr3:uid="{E7AAA93C-EC2A-4307-8C51-8C0A17A1C475}" uniqueName="7" name="Customer demographics" queryTableFieldId="7" dataDxfId="69"/>
    <tableColumn id="8" xr3:uid="{3FE6BC3A-169F-4025-9468-E30D9A22CFF6}" uniqueName="8" name="Stock levels" queryTableFieldId="8"/>
    <tableColumn id="9" xr3:uid="{35951363-9D32-4B85-87CC-FDC29603BBF4}" uniqueName="9" name="Supplier Lead time" queryTableFieldId="35"/>
    <tableColumn id="10" xr3:uid="{E29BE9B1-8158-43A0-8F33-1F200F5DE109}" uniqueName="10" name="Order quantities" queryTableFieldId="10"/>
    <tableColumn id="11" xr3:uid="{03B18E32-61E3-4C7C-8073-2D68438EC887}" uniqueName="11" name="Shipping times" queryTableFieldId="11"/>
    <tableColumn id="12" xr3:uid="{929A2F65-732F-4A69-BFDD-E928B9CE8DD9}" uniqueName="12" name="Shipping carriers" queryTableFieldId="12" dataDxfId="68"/>
    <tableColumn id="13" xr3:uid="{80B41754-B6EE-4747-80C2-ABCB3994AD5F}" uniqueName="13" name="Shipping costs" queryTableFieldId="13" dataDxfId="67"/>
    <tableColumn id="14" xr3:uid="{1E9107EB-51B1-4732-A5D7-7DC909B537BA}" uniqueName="14" name="Supplier name" queryTableFieldId="14" dataDxfId="66"/>
    <tableColumn id="15" xr3:uid="{817CA50C-BA11-41CB-9257-55A289A861B7}" uniqueName="15" name="Location" queryTableFieldId="15" dataDxfId="65"/>
    <tableColumn id="17" xr3:uid="{20A6B7D8-DEA3-4AC9-8272-FD69DDC875CE}" uniqueName="17" name="Production volumes" queryTableFieldId="17"/>
    <tableColumn id="18" xr3:uid="{532C5C93-A5E2-4D83-9AD6-74344B6E3D8E}" uniqueName="18" name="Manufacturing lead time" queryTableFieldId="18"/>
    <tableColumn id="19" xr3:uid="{1ABF6099-06F5-4344-A759-D4EAE538D23B}" uniqueName="19" name="Manufacturing costs" queryTableFieldId="19"/>
    <tableColumn id="20" xr3:uid="{700A4D0D-0333-48C9-ACD6-407CC6F2BC24}" uniqueName="20" name="Inspection results" queryTableFieldId="20" dataDxfId="64"/>
    <tableColumn id="21" xr3:uid="{AC4A7E71-0ACE-48D9-B9B0-706D00291364}" uniqueName="21" name="Defect rates" queryTableFieldId="21" dataDxfId="63"/>
    <tableColumn id="22" xr3:uid="{0D1BDB38-9EC8-43BE-A7D6-9A050FE16599}" uniqueName="22" name="Transportation modes" queryTableFieldId="22" dataDxfId="62"/>
    <tableColumn id="23" xr3:uid="{242103D6-B842-4B49-846C-859C1ABE545F}" uniqueName="23" name="Routes" queryTableFieldId="23" dataDxfId="61"/>
    <tableColumn id="24" xr3:uid="{1D3E2367-C8FB-45A6-A85E-475B7C7D95C6}" uniqueName="24" name="Costs" queryTableFieldId="24"/>
    <tableColumn id="25" xr3:uid="{2094E8F6-9B30-43E1-9A02-0886B99A85AB}" uniqueName="25" name="Total Costs" queryTableFieldId="25" dataDxfId="60">
      <calculatedColumnFormula>SupplyChain4[[#This Row],[Costs]]+SupplyChain4[[#This Row],[Shipping costs]]+SupplyChain4[[#This Row],[Manufacturing costs]]</calculatedColumnFormula>
    </tableColumn>
    <tableColumn id="26" xr3:uid="{6C386A37-C146-4C30-87C0-2E2A04862275}" uniqueName="26" name="Estimated Profit" queryTableFieldId="26" dataDxfId="59">
      <calculatedColumnFormula>SupplyChain4[[#This Row],[Revenue generated]]-SupplyChain4[[#This Row],[Total Costs]]</calculatedColumnFormula>
    </tableColumn>
    <tableColumn id="28" xr3:uid="{53D0E0F8-84CA-4FBD-9954-DB433BAF083B}" uniqueName="28" name="Inventory Efficiency" queryTableFieldId="28" dataDxfId="58">
      <calculatedColumnFormula>IF(SupplyChain4[[#This Row],[Stock levels]]=0,"",SupplyChain4[[#This Row],[Number of products sold]]/SupplyChain4[[#This Row],[Stock levels]])</calculatedColumnFormula>
    </tableColumn>
    <tableColumn id="30" xr3:uid="{CCA787CB-FEF0-42DD-9826-4E0BB07F73C3}" uniqueName="30" name="Revenue Per Unit" queryTableFieldId="30" dataDxfId="57">
      <calculatedColumnFormula>IFERROR(SupplyChain4[[#This Row],[Revenue generated]]/SupplyChain4[[#This Row],[Number of products sold]],0)</calculatedColumnFormula>
    </tableColumn>
    <tableColumn id="31" xr3:uid="{CAEEEF81-2178-4F85-96EE-167CE87E5917}" uniqueName="31" name="ShIpping cost per unit" queryTableFieldId="31" dataDxfId="56">
      <calculatedColumnFormula>IFERROR(SupplyChain4[[#This Row],[Shipping costs]]/SupplyChain4[[#This Row],[Number of products sold]],0)</calculatedColumnFormula>
    </tableColumn>
    <tableColumn id="29" xr3:uid="{2B08EF56-BC77-414E-AF31-12F4D09D4548}" uniqueName="29" name="Total Lead Time" queryTableFieldId="37" dataDxfId="55">
      <calculatedColumnFormula>SupplyChain4[[#This Row],[Supplier Lead time]]+SupplyChain4[[#This Row],[Shipping times]]+SupplyChain4[[#This Row],[Manufacturing lead time]]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75E5-BD59-4F80-ACB7-3F0C1D62050D}">
  <dimension ref="A1:W101"/>
  <sheetViews>
    <sheetView zoomScaleNormal="100" workbookViewId="0">
      <selection activeCell="A2" sqref="A2"/>
    </sheetView>
  </sheetViews>
  <sheetFormatPr defaultRowHeight="15"/>
  <cols>
    <col min="1" max="1" width="14.7109375" bestFit="1" customWidth="1"/>
    <col min="2" max="2" width="6.85546875" bestFit="1" customWidth="1"/>
    <col min="3" max="3" width="12" bestFit="1" customWidth="1"/>
    <col min="4" max="4" width="13.140625" bestFit="1" customWidth="1"/>
    <col min="5" max="5" width="26" bestFit="1" customWidth="1"/>
    <col min="6" max="6" width="21.140625" bestFit="1" customWidth="1"/>
    <col min="7" max="7" width="25.85546875" bestFit="1" customWidth="1"/>
    <col min="8" max="8" width="14.140625" bestFit="1" customWidth="1"/>
    <col min="9" max="9" width="20.7109375" bestFit="1" customWidth="1"/>
    <col min="10" max="10" width="18.140625" bestFit="1" customWidth="1"/>
    <col min="11" max="11" width="16.85546875" bestFit="1" customWidth="1"/>
    <col min="12" max="12" width="16.5703125" bestFit="1" customWidth="1"/>
    <col min="13" max="13" width="18.5703125" bestFit="1" customWidth="1"/>
    <col min="14" max="14" width="16.42578125" bestFit="1" customWidth="1"/>
    <col min="15" max="15" width="11" bestFit="1" customWidth="1"/>
    <col min="16" max="16" width="21.5703125" bestFit="1" customWidth="1"/>
    <col min="17" max="17" width="25.42578125" bestFit="1" customWidth="1"/>
    <col min="18" max="18" width="21.7109375" bestFit="1" customWidth="1"/>
    <col min="19" max="19" width="19.85546875" bestFit="1" customWidth="1"/>
    <col min="20" max="20" width="14.42578125" bestFit="1" customWidth="1"/>
    <col min="21" max="21" width="23.28515625" bestFit="1" customWidth="1"/>
    <col min="22" max="22" width="9.7109375" bestFit="1" customWidth="1"/>
    <col min="23" max="23" width="12" bestFit="1" customWidth="1"/>
    <col min="24" max="24" width="9.7109375" bestFit="1" customWidth="1"/>
    <col min="25" max="25" width="12" customWidth="1"/>
    <col min="26" max="26" width="12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215</v>
      </c>
      <c r="J1" t="s">
        <v>8</v>
      </c>
      <c r="K1" t="s">
        <v>9</v>
      </c>
      <c r="L1" t="s">
        <v>11</v>
      </c>
      <c r="M1" t="s">
        <v>10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 t="s">
        <v>22</v>
      </c>
      <c r="B2" t="s">
        <v>23</v>
      </c>
      <c r="C2">
        <v>69.808005542115765</v>
      </c>
      <c r="D2">
        <v>55</v>
      </c>
      <c r="E2">
        <v>802</v>
      </c>
      <c r="F2">
        <v>8661.9967923923832</v>
      </c>
      <c r="G2" t="s">
        <v>24</v>
      </c>
      <c r="H2">
        <v>58</v>
      </c>
      <c r="I2">
        <v>7</v>
      </c>
      <c r="J2">
        <v>96</v>
      </c>
      <c r="K2">
        <v>4</v>
      </c>
      <c r="L2" s="13">
        <v>103</v>
      </c>
      <c r="M2" t="s">
        <v>25</v>
      </c>
      <c r="N2" t="s">
        <v>26</v>
      </c>
      <c r="O2" t="s">
        <v>27</v>
      </c>
      <c r="P2">
        <v>215</v>
      </c>
      <c r="Q2">
        <v>29</v>
      </c>
      <c r="R2">
        <v>46.279879240508322</v>
      </c>
      <c r="S2" t="s">
        <v>28</v>
      </c>
      <c r="T2">
        <v>0.22641036084992516</v>
      </c>
      <c r="U2" t="s">
        <v>29</v>
      </c>
      <c r="V2" t="s">
        <v>30</v>
      </c>
      <c r="W2">
        <v>187.75207545920392</v>
      </c>
    </row>
    <row r="3" spans="1:23">
      <c r="A3" t="s">
        <v>31</v>
      </c>
      <c r="B3" t="s">
        <v>32</v>
      </c>
      <c r="C3">
        <v>14.843523275084339</v>
      </c>
      <c r="D3">
        <v>95</v>
      </c>
      <c r="E3">
        <v>736</v>
      </c>
      <c r="F3">
        <v>7460.9000654458487</v>
      </c>
      <c r="G3" t="s">
        <v>33</v>
      </c>
      <c r="H3">
        <v>53</v>
      </c>
      <c r="I3">
        <v>30</v>
      </c>
      <c r="J3">
        <v>37</v>
      </c>
      <c r="K3">
        <v>2</v>
      </c>
      <c r="L3" s="13">
        <v>938</v>
      </c>
      <c r="M3" t="s">
        <v>34</v>
      </c>
      <c r="N3" t="s">
        <v>26</v>
      </c>
      <c r="O3" t="s">
        <v>27</v>
      </c>
      <c r="P3">
        <v>517</v>
      </c>
      <c r="Q3">
        <v>30</v>
      </c>
      <c r="R3">
        <v>33.616768953730002</v>
      </c>
      <c r="S3" t="s">
        <v>28</v>
      </c>
      <c r="T3">
        <v>4.8540680263887062</v>
      </c>
      <c r="U3" t="s">
        <v>29</v>
      </c>
      <c r="V3" t="s">
        <v>30</v>
      </c>
      <c r="W3">
        <v>503.06557914966919</v>
      </c>
    </row>
    <row r="4" spans="1:23">
      <c r="A4" t="s">
        <v>22</v>
      </c>
      <c r="B4" t="s">
        <v>35</v>
      </c>
      <c r="C4">
        <v>11.319683293090566</v>
      </c>
      <c r="D4">
        <v>34</v>
      </c>
      <c r="E4">
        <v>8</v>
      </c>
      <c r="F4">
        <v>9577.7496258687297</v>
      </c>
      <c r="G4" t="s">
        <v>36</v>
      </c>
      <c r="H4">
        <v>1</v>
      </c>
      <c r="I4">
        <v>10</v>
      </c>
      <c r="J4">
        <v>88</v>
      </c>
      <c r="K4">
        <v>2</v>
      </c>
      <c r="L4" s="13">
        <v>480</v>
      </c>
      <c r="M4" t="s">
        <v>25</v>
      </c>
      <c r="N4" t="s">
        <v>37</v>
      </c>
      <c r="O4" t="s">
        <v>27</v>
      </c>
      <c r="P4">
        <v>971</v>
      </c>
      <c r="Q4">
        <v>27</v>
      </c>
      <c r="R4">
        <v>30.688019348284204</v>
      </c>
      <c r="S4" t="s">
        <v>28</v>
      </c>
      <c r="T4">
        <v>4.580592619199229</v>
      </c>
      <c r="U4" t="s">
        <v>38</v>
      </c>
      <c r="V4" t="s">
        <v>39</v>
      </c>
      <c r="W4">
        <v>141.92028177151906</v>
      </c>
    </row>
    <row r="5" spans="1:23">
      <c r="A5" t="s">
        <v>31</v>
      </c>
      <c r="B5" t="s">
        <v>40</v>
      </c>
      <c r="C5">
        <v>61.163343016437736</v>
      </c>
      <c r="D5">
        <v>68</v>
      </c>
      <c r="E5">
        <v>83</v>
      </c>
      <c r="F5">
        <v>7766.8364256852328</v>
      </c>
      <c r="G5" t="s">
        <v>24</v>
      </c>
      <c r="H5">
        <v>23</v>
      </c>
      <c r="I5">
        <v>13</v>
      </c>
      <c r="J5">
        <v>59</v>
      </c>
      <c r="K5">
        <v>6</v>
      </c>
      <c r="L5" s="13">
        <v>945</v>
      </c>
      <c r="M5" t="s">
        <v>41</v>
      </c>
      <c r="N5" t="s">
        <v>42</v>
      </c>
      <c r="O5" t="s">
        <v>43</v>
      </c>
      <c r="P5">
        <v>937</v>
      </c>
      <c r="Q5">
        <v>18</v>
      </c>
      <c r="R5">
        <v>35.624741397125028</v>
      </c>
      <c r="S5" t="s">
        <v>44</v>
      </c>
      <c r="T5">
        <v>4.7466486206477496</v>
      </c>
      <c r="U5" t="s">
        <v>45</v>
      </c>
      <c r="V5" t="s">
        <v>46</v>
      </c>
      <c r="W5">
        <v>254.77615921928663</v>
      </c>
    </row>
    <row r="6" spans="1:23">
      <c r="A6" t="s">
        <v>31</v>
      </c>
      <c r="B6" t="s">
        <v>47</v>
      </c>
      <c r="C6">
        <v>4.8054960363458932</v>
      </c>
      <c r="D6">
        <v>26</v>
      </c>
      <c r="E6">
        <v>871</v>
      </c>
      <c r="F6">
        <v>2686.5051515674468</v>
      </c>
      <c r="G6" t="s">
        <v>24</v>
      </c>
      <c r="H6">
        <v>5</v>
      </c>
      <c r="I6">
        <v>3</v>
      </c>
      <c r="J6">
        <v>56</v>
      </c>
      <c r="K6">
        <v>8</v>
      </c>
      <c r="L6" s="13">
        <v>932</v>
      </c>
      <c r="M6" t="s">
        <v>34</v>
      </c>
      <c r="N6" t="s">
        <v>37</v>
      </c>
      <c r="O6" t="s">
        <v>48</v>
      </c>
      <c r="P6">
        <v>414</v>
      </c>
      <c r="Q6">
        <v>3</v>
      </c>
      <c r="R6">
        <v>92.065160598712851</v>
      </c>
      <c r="S6" t="s">
        <v>44</v>
      </c>
      <c r="T6">
        <v>3.1455795228330019</v>
      </c>
      <c r="U6" t="s">
        <v>38</v>
      </c>
      <c r="V6" t="s">
        <v>46</v>
      </c>
      <c r="W6">
        <v>923.44063171192215</v>
      </c>
    </row>
    <row r="7" spans="1:23">
      <c r="A7" t="s">
        <v>22</v>
      </c>
      <c r="B7" t="s">
        <v>49</v>
      </c>
      <c r="C7">
        <v>1.6999760138659377</v>
      </c>
      <c r="D7">
        <v>87</v>
      </c>
      <c r="E7">
        <v>147</v>
      </c>
      <c r="F7">
        <v>2828.3487459757589</v>
      </c>
      <c r="G7" t="s">
        <v>24</v>
      </c>
      <c r="H7">
        <v>90</v>
      </c>
      <c r="I7">
        <v>27</v>
      </c>
      <c r="J7">
        <v>66</v>
      </c>
      <c r="K7">
        <v>3</v>
      </c>
      <c r="L7" s="13">
        <v>466</v>
      </c>
      <c r="M7" t="s">
        <v>25</v>
      </c>
      <c r="N7" t="s">
        <v>50</v>
      </c>
      <c r="O7" t="s">
        <v>51</v>
      </c>
      <c r="P7">
        <v>104</v>
      </c>
      <c r="Q7">
        <v>17</v>
      </c>
      <c r="R7">
        <v>56.766475557431797</v>
      </c>
      <c r="S7" t="s">
        <v>44</v>
      </c>
      <c r="T7">
        <v>2.7791935115711617</v>
      </c>
      <c r="U7" t="s">
        <v>29</v>
      </c>
      <c r="V7" t="s">
        <v>46</v>
      </c>
      <c r="W7">
        <v>235.46123673553751</v>
      </c>
    </row>
    <row r="8" spans="1:23">
      <c r="A8" t="s">
        <v>31</v>
      </c>
      <c r="B8" t="s">
        <v>52</v>
      </c>
      <c r="C8">
        <v>4.0783328631079447</v>
      </c>
      <c r="D8">
        <v>48</v>
      </c>
      <c r="E8">
        <v>65</v>
      </c>
      <c r="F8">
        <v>7823.4765595317367</v>
      </c>
      <c r="G8" t="s">
        <v>53</v>
      </c>
      <c r="H8">
        <v>11</v>
      </c>
      <c r="I8">
        <v>15</v>
      </c>
      <c r="J8">
        <v>58</v>
      </c>
      <c r="K8">
        <v>8</v>
      </c>
      <c r="L8" s="13">
        <v>759</v>
      </c>
      <c r="M8" t="s">
        <v>41</v>
      </c>
      <c r="N8" t="s">
        <v>26</v>
      </c>
      <c r="O8" t="s">
        <v>43</v>
      </c>
      <c r="P8">
        <v>314</v>
      </c>
      <c r="Q8">
        <v>24</v>
      </c>
      <c r="R8">
        <v>1.0850685695870688</v>
      </c>
      <c r="S8" t="s">
        <v>28</v>
      </c>
      <c r="T8">
        <v>1.0009106193041357</v>
      </c>
      <c r="U8" t="s">
        <v>54</v>
      </c>
      <c r="V8" t="s">
        <v>46</v>
      </c>
      <c r="W8">
        <v>134.36909686103172</v>
      </c>
    </row>
    <row r="9" spans="1:23">
      <c r="A9" t="s">
        <v>55</v>
      </c>
      <c r="B9" t="s">
        <v>56</v>
      </c>
      <c r="C9">
        <v>42.958384382460068</v>
      </c>
      <c r="D9">
        <v>59</v>
      </c>
      <c r="E9">
        <v>426</v>
      </c>
      <c r="F9">
        <v>8496.1038130898378</v>
      </c>
      <c r="G9" t="s">
        <v>33</v>
      </c>
      <c r="H9">
        <v>93</v>
      </c>
      <c r="I9">
        <v>17</v>
      </c>
      <c r="J9">
        <v>11</v>
      </c>
      <c r="K9">
        <v>1</v>
      </c>
      <c r="L9" s="13">
        <v>388</v>
      </c>
      <c r="M9" t="s">
        <v>25</v>
      </c>
      <c r="N9" t="s">
        <v>50</v>
      </c>
      <c r="O9" t="s">
        <v>51</v>
      </c>
      <c r="P9">
        <v>564</v>
      </c>
      <c r="Q9">
        <v>1</v>
      </c>
      <c r="R9">
        <v>99.466108603599125</v>
      </c>
      <c r="S9" t="s">
        <v>44</v>
      </c>
      <c r="T9">
        <v>0.39817718685065062</v>
      </c>
      <c r="U9" t="s">
        <v>29</v>
      </c>
      <c r="V9" t="s">
        <v>39</v>
      </c>
      <c r="W9">
        <v>802.05631181755859</v>
      </c>
    </row>
    <row r="10" spans="1:23">
      <c r="A10" t="s">
        <v>55</v>
      </c>
      <c r="B10" t="s">
        <v>57</v>
      </c>
      <c r="C10">
        <v>68.717596748527328</v>
      </c>
      <c r="D10">
        <v>78</v>
      </c>
      <c r="E10">
        <v>150</v>
      </c>
      <c r="F10">
        <v>7517.363210631127</v>
      </c>
      <c r="G10" t="s">
        <v>33</v>
      </c>
      <c r="H10">
        <v>5</v>
      </c>
      <c r="I10">
        <v>10</v>
      </c>
      <c r="J10">
        <v>15</v>
      </c>
      <c r="K10">
        <v>7</v>
      </c>
      <c r="L10" s="13">
        <v>388</v>
      </c>
      <c r="M10" t="s">
        <v>41</v>
      </c>
      <c r="N10" t="s">
        <v>50</v>
      </c>
      <c r="O10" t="s">
        <v>27</v>
      </c>
      <c r="P10">
        <v>769</v>
      </c>
      <c r="Q10">
        <v>8</v>
      </c>
      <c r="R10">
        <v>11.423027139565695</v>
      </c>
      <c r="S10" t="s">
        <v>28</v>
      </c>
      <c r="T10">
        <v>2.7098626911099615</v>
      </c>
      <c r="U10" t="s">
        <v>54</v>
      </c>
      <c r="V10" t="s">
        <v>30</v>
      </c>
      <c r="W10">
        <v>505.55713422546415</v>
      </c>
    </row>
    <row r="11" spans="1:23">
      <c r="A11" t="s">
        <v>31</v>
      </c>
      <c r="B11" t="s">
        <v>58</v>
      </c>
      <c r="C11">
        <v>64.015732941278543</v>
      </c>
      <c r="D11">
        <v>35</v>
      </c>
      <c r="E11">
        <v>980</v>
      </c>
      <c r="F11">
        <v>4971.145987585558</v>
      </c>
      <c r="G11" t="s">
        <v>36</v>
      </c>
      <c r="H11">
        <v>14</v>
      </c>
      <c r="I11">
        <v>27</v>
      </c>
      <c r="J11">
        <v>83</v>
      </c>
      <c r="K11">
        <v>1</v>
      </c>
      <c r="L11" s="13">
        <v>1098</v>
      </c>
      <c r="M11" t="s">
        <v>34</v>
      </c>
      <c r="N11" t="s">
        <v>59</v>
      </c>
      <c r="O11" t="s">
        <v>60</v>
      </c>
      <c r="P11">
        <v>963</v>
      </c>
      <c r="Q11">
        <v>23</v>
      </c>
      <c r="R11">
        <v>47.95760163495158</v>
      </c>
      <c r="S11" t="s">
        <v>28</v>
      </c>
      <c r="T11">
        <v>3.8446144787675851</v>
      </c>
      <c r="U11" t="s">
        <v>45</v>
      </c>
      <c r="V11" t="s">
        <v>30</v>
      </c>
      <c r="W11">
        <v>995.92946149864167</v>
      </c>
    </row>
    <row r="12" spans="1:23">
      <c r="A12" t="s">
        <v>31</v>
      </c>
      <c r="B12" t="s">
        <v>61</v>
      </c>
      <c r="C12">
        <v>15.707795681912138</v>
      </c>
      <c r="D12">
        <v>11</v>
      </c>
      <c r="E12">
        <v>996</v>
      </c>
      <c r="F12">
        <v>2330.9658020919492</v>
      </c>
      <c r="G12" t="s">
        <v>24</v>
      </c>
      <c r="H12">
        <v>51</v>
      </c>
      <c r="I12">
        <v>13</v>
      </c>
      <c r="J12">
        <v>80</v>
      </c>
      <c r="K12">
        <v>2</v>
      </c>
      <c r="L12" s="13">
        <v>1074</v>
      </c>
      <c r="M12" t="s">
        <v>41</v>
      </c>
      <c r="N12" t="s">
        <v>42</v>
      </c>
      <c r="O12" t="s">
        <v>43</v>
      </c>
      <c r="P12">
        <v>830</v>
      </c>
      <c r="Q12">
        <v>5</v>
      </c>
      <c r="R12">
        <v>96.52735278531091</v>
      </c>
      <c r="S12" t="s">
        <v>62</v>
      </c>
      <c r="T12">
        <v>1.7273139283559424</v>
      </c>
      <c r="U12" t="s">
        <v>29</v>
      </c>
      <c r="V12" t="s">
        <v>30</v>
      </c>
      <c r="W12">
        <v>806.10317770292295</v>
      </c>
    </row>
    <row r="13" spans="1:23">
      <c r="A13" t="s">
        <v>31</v>
      </c>
      <c r="B13" t="s">
        <v>63</v>
      </c>
      <c r="C13">
        <v>90.635459982288666</v>
      </c>
      <c r="D13">
        <v>95</v>
      </c>
      <c r="E13">
        <v>960</v>
      </c>
      <c r="F13">
        <v>6099.944115581452</v>
      </c>
      <c r="G13" t="s">
        <v>33</v>
      </c>
      <c r="H13">
        <v>46</v>
      </c>
      <c r="I13">
        <v>23</v>
      </c>
      <c r="J13">
        <v>60</v>
      </c>
      <c r="K13">
        <v>1</v>
      </c>
      <c r="L13" s="13">
        <v>972</v>
      </c>
      <c r="M13" t="s">
        <v>34</v>
      </c>
      <c r="N13" t="s">
        <v>59</v>
      </c>
      <c r="O13" t="s">
        <v>43</v>
      </c>
      <c r="P13">
        <v>362</v>
      </c>
      <c r="Q13">
        <v>11</v>
      </c>
      <c r="R13">
        <v>27.592363086663696</v>
      </c>
      <c r="S13" t="s">
        <v>28</v>
      </c>
      <c r="T13">
        <v>2.1169821372994391E-2</v>
      </c>
      <c r="U13" t="s">
        <v>38</v>
      </c>
      <c r="V13" t="s">
        <v>46</v>
      </c>
      <c r="W13">
        <v>126.72303340940725</v>
      </c>
    </row>
    <row r="14" spans="1:23">
      <c r="A14" t="s">
        <v>22</v>
      </c>
      <c r="B14" t="s">
        <v>64</v>
      </c>
      <c r="C14">
        <v>71.213389075360084</v>
      </c>
      <c r="D14">
        <v>41</v>
      </c>
      <c r="E14">
        <v>336</v>
      </c>
      <c r="F14">
        <v>2873.7414460214413</v>
      </c>
      <c r="G14" t="s">
        <v>36</v>
      </c>
      <c r="H14">
        <v>100</v>
      </c>
      <c r="I14">
        <v>30</v>
      </c>
      <c r="J14">
        <v>85</v>
      </c>
      <c r="K14">
        <v>4</v>
      </c>
      <c r="L14" s="13">
        <v>231</v>
      </c>
      <c r="M14" t="s">
        <v>34</v>
      </c>
      <c r="N14" t="s">
        <v>50</v>
      </c>
      <c r="O14" t="s">
        <v>43</v>
      </c>
      <c r="P14">
        <v>563</v>
      </c>
      <c r="Q14">
        <v>3</v>
      </c>
      <c r="R14">
        <v>32.321286213424031</v>
      </c>
      <c r="S14" t="s">
        <v>44</v>
      </c>
      <c r="T14">
        <v>2.1612537475559117</v>
      </c>
      <c r="U14" t="s">
        <v>29</v>
      </c>
      <c r="V14" t="s">
        <v>30</v>
      </c>
      <c r="W14">
        <v>402.96878907377061</v>
      </c>
    </row>
    <row r="15" spans="1:23">
      <c r="A15" t="s">
        <v>31</v>
      </c>
      <c r="B15" t="s">
        <v>65</v>
      </c>
      <c r="C15">
        <v>16.160393317379977</v>
      </c>
      <c r="D15">
        <v>5</v>
      </c>
      <c r="E15">
        <v>249</v>
      </c>
      <c r="F15">
        <v>4052.7384162378667</v>
      </c>
      <c r="G15" t="s">
        <v>53</v>
      </c>
      <c r="H15">
        <v>80</v>
      </c>
      <c r="I15">
        <v>8</v>
      </c>
      <c r="J15">
        <v>48</v>
      </c>
      <c r="K15">
        <v>9</v>
      </c>
      <c r="L15" s="13">
        <v>904</v>
      </c>
      <c r="M15" t="s">
        <v>34</v>
      </c>
      <c r="N15" t="s">
        <v>42</v>
      </c>
      <c r="O15" t="s">
        <v>51</v>
      </c>
      <c r="P15">
        <v>173</v>
      </c>
      <c r="Q15">
        <v>10</v>
      </c>
      <c r="R15">
        <v>97.82905011017327</v>
      </c>
      <c r="S15" t="s">
        <v>28</v>
      </c>
      <c r="T15">
        <v>1.6310742300715386</v>
      </c>
      <c r="U15" t="s">
        <v>29</v>
      </c>
      <c r="V15" t="s">
        <v>30</v>
      </c>
      <c r="W15">
        <v>547.24100516096848</v>
      </c>
    </row>
    <row r="16" spans="1:23">
      <c r="A16" t="s">
        <v>31</v>
      </c>
      <c r="B16" t="s">
        <v>66</v>
      </c>
      <c r="C16">
        <v>99.171328638624189</v>
      </c>
      <c r="D16">
        <v>26</v>
      </c>
      <c r="E16">
        <v>562</v>
      </c>
      <c r="F16">
        <v>8653.5709264698016</v>
      </c>
      <c r="G16" t="s">
        <v>24</v>
      </c>
      <c r="H16">
        <v>54</v>
      </c>
      <c r="I16">
        <v>29</v>
      </c>
      <c r="J16">
        <v>78</v>
      </c>
      <c r="K16">
        <v>5</v>
      </c>
      <c r="L16" s="13">
        <v>118</v>
      </c>
      <c r="M16" t="s">
        <v>25</v>
      </c>
      <c r="N16" t="s">
        <v>37</v>
      </c>
      <c r="O16" t="s">
        <v>43</v>
      </c>
      <c r="P16">
        <v>558</v>
      </c>
      <c r="Q16">
        <v>14</v>
      </c>
      <c r="R16">
        <v>5.7914366298629893</v>
      </c>
      <c r="S16" t="s">
        <v>28</v>
      </c>
      <c r="T16">
        <v>0.10068285156509371</v>
      </c>
      <c r="U16" t="s">
        <v>38</v>
      </c>
      <c r="V16" t="s">
        <v>30</v>
      </c>
      <c r="W16">
        <v>929.23528996088965</v>
      </c>
    </row>
    <row r="17" spans="1:23">
      <c r="A17" t="s">
        <v>31</v>
      </c>
      <c r="B17" t="s">
        <v>67</v>
      </c>
      <c r="C17">
        <v>36.98924492862691</v>
      </c>
      <c r="D17">
        <v>94</v>
      </c>
      <c r="E17">
        <v>469</v>
      </c>
      <c r="F17">
        <v>5442.0867853976733</v>
      </c>
      <c r="G17" t="s">
        <v>24</v>
      </c>
      <c r="H17">
        <v>9</v>
      </c>
      <c r="I17">
        <v>8</v>
      </c>
      <c r="J17">
        <v>69</v>
      </c>
      <c r="K17">
        <v>7</v>
      </c>
      <c r="L17" s="13">
        <v>998</v>
      </c>
      <c r="M17" t="s">
        <v>25</v>
      </c>
      <c r="N17" t="s">
        <v>37</v>
      </c>
      <c r="O17" t="s">
        <v>51</v>
      </c>
      <c r="P17">
        <v>580</v>
      </c>
      <c r="Q17">
        <v>7</v>
      </c>
      <c r="R17">
        <v>97.121281751474314</v>
      </c>
      <c r="S17" t="s">
        <v>62</v>
      </c>
      <c r="T17">
        <v>2.2644057611985491</v>
      </c>
      <c r="U17" t="s">
        <v>54</v>
      </c>
      <c r="V17" t="s">
        <v>30</v>
      </c>
      <c r="W17">
        <v>127.86180000162541</v>
      </c>
    </row>
    <row r="18" spans="1:23">
      <c r="A18" t="s">
        <v>31</v>
      </c>
      <c r="B18" t="s">
        <v>68</v>
      </c>
      <c r="C18">
        <v>7.5471721097912718</v>
      </c>
      <c r="D18">
        <v>74</v>
      </c>
      <c r="E18">
        <v>280</v>
      </c>
      <c r="F18">
        <v>6453.7979681762854</v>
      </c>
      <c r="G18" t="s">
        <v>33</v>
      </c>
      <c r="H18">
        <v>2</v>
      </c>
      <c r="I18">
        <v>5</v>
      </c>
      <c r="J18">
        <v>78</v>
      </c>
      <c r="K18">
        <v>1</v>
      </c>
      <c r="L18" s="13">
        <v>1193</v>
      </c>
      <c r="M18" t="s">
        <v>25</v>
      </c>
      <c r="N18" t="s">
        <v>37</v>
      </c>
      <c r="O18" t="s">
        <v>51</v>
      </c>
      <c r="P18">
        <v>399</v>
      </c>
      <c r="Q18">
        <v>21</v>
      </c>
      <c r="R18">
        <v>77.106342497850008</v>
      </c>
      <c r="S18" t="s">
        <v>62</v>
      </c>
      <c r="T18">
        <v>1.0125630892580491</v>
      </c>
      <c r="U18" t="s">
        <v>38</v>
      </c>
      <c r="V18" t="s">
        <v>46</v>
      </c>
      <c r="W18">
        <v>865.52577977124031</v>
      </c>
    </row>
    <row r="19" spans="1:23">
      <c r="A19" t="s">
        <v>55</v>
      </c>
      <c r="B19" t="s">
        <v>69</v>
      </c>
      <c r="C19">
        <v>81.462534369237019</v>
      </c>
      <c r="D19">
        <v>82</v>
      </c>
      <c r="E19">
        <v>126</v>
      </c>
      <c r="F19">
        <v>2629.3964348452619</v>
      </c>
      <c r="G19" t="s">
        <v>33</v>
      </c>
      <c r="H19">
        <v>45</v>
      </c>
      <c r="I19">
        <v>17</v>
      </c>
      <c r="J19">
        <v>85</v>
      </c>
      <c r="K19">
        <v>9</v>
      </c>
      <c r="L19" s="13">
        <v>461</v>
      </c>
      <c r="M19" t="s">
        <v>41</v>
      </c>
      <c r="N19" t="s">
        <v>37</v>
      </c>
      <c r="O19" t="s">
        <v>60</v>
      </c>
      <c r="P19">
        <v>453</v>
      </c>
      <c r="Q19">
        <v>16</v>
      </c>
      <c r="R19">
        <v>47.679680368355335</v>
      </c>
      <c r="S19" t="s">
        <v>44</v>
      </c>
      <c r="T19">
        <v>0.10202075491817619</v>
      </c>
      <c r="U19" t="s">
        <v>38</v>
      </c>
      <c r="V19" t="s">
        <v>39</v>
      </c>
      <c r="W19">
        <v>670.93439079241034</v>
      </c>
    </row>
    <row r="20" spans="1:23">
      <c r="A20" t="s">
        <v>22</v>
      </c>
      <c r="B20" t="s">
        <v>70</v>
      </c>
      <c r="C20">
        <v>36.443627770460935</v>
      </c>
      <c r="D20">
        <v>23</v>
      </c>
      <c r="E20">
        <v>620</v>
      </c>
      <c r="F20">
        <v>9364.6735050761727</v>
      </c>
      <c r="G20" t="s">
        <v>36</v>
      </c>
      <c r="H20">
        <v>10</v>
      </c>
      <c r="I20">
        <v>10</v>
      </c>
      <c r="J20">
        <v>46</v>
      </c>
      <c r="K20">
        <v>8</v>
      </c>
      <c r="L20" s="13">
        <v>310</v>
      </c>
      <c r="M20" t="s">
        <v>41</v>
      </c>
      <c r="N20" t="s">
        <v>59</v>
      </c>
      <c r="O20" t="s">
        <v>43</v>
      </c>
      <c r="P20">
        <v>374</v>
      </c>
      <c r="Q20">
        <v>17</v>
      </c>
      <c r="R20">
        <v>27.10798085484392</v>
      </c>
      <c r="S20" t="s">
        <v>28</v>
      </c>
      <c r="T20">
        <v>2.2319391107292637</v>
      </c>
      <c r="U20" t="s">
        <v>54</v>
      </c>
      <c r="V20" t="s">
        <v>46</v>
      </c>
      <c r="W20">
        <v>593.48025872065182</v>
      </c>
    </row>
    <row r="21" spans="1:23">
      <c r="A21" t="s">
        <v>31</v>
      </c>
      <c r="B21" t="s">
        <v>71</v>
      </c>
      <c r="C21">
        <v>51.12387008796474</v>
      </c>
      <c r="D21">
        <v>100</v>
      </c>
      <c r="E21">
        <v>187</v>
      </c>
      <c r="F21">
        <v>2553.4955849912149</v>
      </c>
      <c r="G21" t="s">
        <v>36</v>
      </c>
      <c r="H21">
        <v>48</v>
      </c>
      <c r="I21">
        <v>11</v>
      </c>
      <c r="J21">
        <v>94</v>
      </c>
      <c r="K21">
        <v>3</v>
      </c>
      <c r="L21" s="13">
        <v>869</v>
      </c>
      <c r="M21" t="s">
        <v>34</v>
      </c>
      <c r="N21" t="s">
        <v>50</v>
      </c>
      <c r="O21" t="s">
        <v>60</v>
      </c>
      <c r="P21">
        <v>694</v>
      </c>
      <c r="Q21">
        <v>16</v>
      </c>
      <c r="R21">
        <v>82.373320587990207</v>
      </c>
      <c r="S21" t="s">
        <v>44</v>
      </c>
      <c r="T21">
        <v>3.6464508654170293</v>
      </c>
      <c r="U21" t="s">
        <v>29</v>
      </c>
      <c r="V21" t="s">
        <v>39</v>
      </c>
      <c r="W21">
        <v>477.30763109090344</v>
      </c>
    </row>
    <row r="22" spans="1:23">
      <c r="A22" t="s">
        <v>31</v>
      </c>
      <c r="B22" t="s">
        <v>72</v>
      </c>
      <c r="C22">
        <v>96.341072439963384</v>
      </c>
      <c r="D22">
        <v>22</v>
      </c>
      <c r="E22">
        <v>320</v>
      </c>
      <c r="F22">
        <v>8128.0276968511916</v>
      </c>
      <c r="G22" t="s">
        <v>36</v>
      </c>
      <c r="H22">
        <v>27</v>
      </c>
      <c r="I22">
        <v>12</v>
      </c>
      <c r="J22">
        <v>68</v>
      </c>
      <c r="K22">
        <v>6</v>
      </c>
      <c r="L22" s="13">
        <v>802</v>
      </c>
      <c r="M22" t="s">
        <v>34</v>
      </c>
      <c r="N22" t="s">
        <v>37</v>
      </c>
      <c r="O22" t="s">
        <v>60</v>
      </c>
      <c r="P22">
        <v>309</v>
      </c>
      <c r="Q22">
        <v>6</v>
      </c>
      <c r="R22">
        <v>65.686259608488626</v>
      </c>
      <c r="S22" t="s">
        <v>62</v>
      </c>
      <c r="T22">
        <v>4.2314165735345393</v>
      </c>
      <c r="U22" t="s">
        <v>38</v>
      </c>
      <c r="V22" t="s">
        <v>30</v>
      </c>
      <c r="W22">
        <v>493.87121531620585</v>
      </c>
    </row>
    <row r="23" spans="1:23">
      <c r="A23" t="s">
        <v>55</v>
      </c>
      <c r="B23" t="s">
        <v>73</v>
      </c>
      <c r="C23">
        <v>84.893868984950828</v>
      </c>
      <c r="D23">
        <v>60</v>
      </c>
      <c r="E23">
        <v>601</v>
      </c>
      <c r="F23">
        <v>7087.0526963574366</v>
      </c>
      <c r="G23" t="s">
        <v>36</v>
      </c>
      <c r="H23">
        <v>69</v>
      </c>
      <c r="I23">
        <v>25</v>
      </c>
      <c r="J23">
        <v>7</v>
      </c>
      <c r="K23">
        <v>6</v>
      </c>
      <c r="L23" s="13">
        <v>257</v>
      </c>
      <c r="M23" t="s">
        <v>25</v>
      </c>
      <c r="N23" t="s">
        <v>42</v>
      </c>
      <c r="O23" t="s">
        <v>60</v>
      </c>
      <c r="P23">
        <v>791</v>
      </c>
      <c r="Q23">
        <v>4</v>
      </c>
      <c r="R23">
        <v>61.735728954160933</v>
      </c>
      <c r="S23" t="s">
        <v>28</v>
      </c>
      <c r="T23">
        <v>1.8607567631014899E-2</v>
      </c>
      <c r="U23" t="s">
        <v>38</v>
      </c>
      <c r="V23" t="s">
        <v>39</v>
      </c>
      <c r="W23">
        <v>523.36091472015801</v>
      </c>
    </row>
    <row r="24" spans="1:23">
      <c r="A24" t="s">
        <v>22</v>
      </c>
      <c r="B24" t="s">
        <v>74</v>
      </c>
      <c r="C24">
        <v>27.679780886501959</v>
      </c>
      <c r="D24">
        <v>55</v>
      </c>
      <c r="E24">
        <v>884</v>
      </c>
      <c r="F24">
        <v>2390.8078665561734</v>
      </c>
      <c r="G24" t="s">
        <v>36</v>
      </c>
      <c r="H24">
        <v>71</v>
      </c>
      <c r="I24">
        <v>1</v>
      </c>
      <c r="J24">
        <v>63</v>
      </c>
      <c r="K24">
        <v>10</v>
      </c>
      <c r="L24" s="13">
        <v>190</v>
      </c>
      <c r="M24" t="s">
        <v>34</v>
      </c>
      <c r="N24" t="s">
        <v>50</v>
      </c>
      <c r="O24" t="s">
        <v>43</v>
      </c>
      <c r="P24">
        <v>780</v>
      </c>
      <c r="Q24">
        <v>28</v>
      </c>
      <c r="R24">
        <v>50.120839612977349</v>
      </c>
      <c r="S24" t="s">
        <v>44</v>
      </c>
      <c r="T24">
        <v>2.5912754732111161</v>
      </c>
      <c r="U24" t="s">
        <v>45</v>
      </c>
      <c r="V24" t="s">
        <v>39</v>
      </c>
      <c r="W24">
        <v>205.57199582694707</v>
      </c>
    </row>
    <row r="25" spans="1:23">
      <c r="A25" t="s">
        <v>55</v>
      </c>
      <c r="B25" t="s">
        <v>75</v>
      </c>
      <c r="C25">
        <v>4.3243411858641636</v>
      </c>
      <c r="D25">
        <v>30</v>
      </c>
      <c r="E25">
        <v>391</v>
      </c>
      <c r="F25">
        <v>8858.367571011484</v>
      </c>
      <c r="G25" t="s">
        <v>36</v>
      </c>
      <c r="H25">
        <v>84</v>
      </c>
      <c r="I25">
        <v>5</v>
      </c>
      <c r="J25">
        <v>29</v>
      </c>
      <c r="K25">
        <v>7</v>
      </c>
      <c r="L25" s="13">
        <v>959</v>
      </c>
      <c r="M25" t="s">
        <v>34</v>
      </c>
      <c r="N25" t="s">
        <v>42</v>
      </c>
      <c r="O25" t="s">
        <v>43</v>
      </c>
      <c r="P25">
        <v>568</v>
      </c>
      <c r="Q25">
        <v>29</v>
      </c>
      <c r="R25">
        <v>98.609957242703871</v>
      </c>
      <c r="S25" t="s">
        <v>28</v>
      </c>
      <c r="T25">
        <v>1.3422915627227339</v>
      </c>
      <c r="U25" t="s">
        <v>45</v>
      </c>
      <c r="V25" t="s">
        <v>46</v>
      </c>
      <c r="W25">
        <v>196.32944611241268</v>
      </c>
    </row>
    <row r="26" spans="1:23">
      <c r="A26" t="s">
        <v>22</v>
      </c>
      <c r="B26" t="s">
        <v>76</v>
      </c>
      <c r="C26">
        <v>4.1563083593111081</v>
      </c>
      <c r="D26">
        <v>32</v>
      </c>
      <c r="E26">
        <v>209</v>
      </c>
      <c r="F26">
        <v>9049.0778609398967</v>
      </c>
      <c r="G26" t="s">
        <v>53</v>
      </c>
      <c r="H26">
        <v>4</v>
      </c>
      <c r="I26">
        <v>26</v>
      </c>
      <c r="J26">
        <v>2</v>
      </c>
      <c r="K26">
        <v>8</v>
      </c>
      <c r="L26" s="13">
        <v>407</v>
      </c>
      <c r="M26" t="s">
        <v>41</v>
      </c>
      <c r="N26" t="s">
        <v>59</v>
      </c>
      <c r="O26" t="s">
        <v>51</v>
      </c>
      <c r="P26">
        <v>447</v>
      </c>
      <c r="Q26">
        <v>3</v>
      </c>
      <c r="R26">
        <v>40.382359702924816</v>
      </c>
      <c r="S26" t="s">
        <v>28</v>
      </c>
      <c r="T26">
        <v>3.691310292628728</v>
      </c>
      <c r="U26" t="s">
        <v>38</v>
      </c>
      <c r="V26" t="s">
        <v>46</v>
      </c>
      <c r="W26">
        <v>758.72477260293829</v>
      </c>
    </row>
    <row r="27" spans="1:23">
      <c r="A27" t="s">
        <v>22</v>
      </c>
      <c r="B27" t="s">
        <v>77</v>
      </c>
      <c r="C27">
        <v>39.629343985092625</v>
      </c>
      <c r="D27">
        <v>73</v>
      </c>
      <c r="E27">
        <v>142</v>
      </c>
      <c r="F27">
        <v>2174.777054350654</v>
      </c>
      <c r="G27" t="s">
        <v>53</v>
      </c>
      <c r="H27">
        <v>82</v>
      </c>
      <c r="I27">
        <v>11</v>
      </c>
      <c r="J27">
        <v>52</v>
      </c>
      <c r="K27">
        <v>3</v>
      </c>
      <c r="L27" s="13">
        <v>852</v>
      </c>
      <c r="M27" t="s">
        <v>41</v>
      </c>
      <c r="N27" t="s">
        <v>50</v>
      </c>
      <c r="O27" t="s">
        <v>43</v>
      </c>
      <c r="P27">
        <v>934</v>
      </c>
      <c r="Q27">
        <v>23</v>
      </c>
      <c r="R27">
        <v>78.280383118415386</v>
      </c>
      <c r="S27" t="s">
        <v>28</v>
      </c>
      <c r="T27">
        <v>3.7972312171141831</v>
      </c>
      <c r="U27" t="s">
        <v>29</v>
      </c>
      <c r="V27" t="s">
        <v>30</v>
      </c>
      <c r="W27">
        <v>458.53594573920907</v>
      </c>
    </row>
    <row r="28" spans="1:23">
      <c r="A28" t="s">
        <v>22</v>
      </c>
      <c r="B28" t="s">
        <v>78</v>
      </c>
      <c r="C28">
        <v>97.44694661789282</v>
      </c>
      <c r="D28">
        <v>9</v>
      </c>
      <c r="E28">
        <v>353</v>
      </c>
      <c r="F28">
        <v>3716.4933258940368</v>
      </c>
      <c r="G28" t="s">
        <v>53</v>
      </c>
      <c r="H28">
        <v>59</v>
      </c>
      <c r="I28">
        <v>16</v>
      </c>
      <c r="J28">
        <v>48</v>
      </c>
      <c r="K28">
        <v>4</v>
      </c>
      <c r="L28" s="13">
        <v>321</v>
      </c>
      <c r="M28" t="s">
        <v>25</v>
      </c>
      <c r="N28" t="s">
        <v>59</v>
      </c>
      <c r="O28" t="s">
        <v>51</v>
      </c>
      <c r="P28">
        <v>171</v>
      </c>
      <c r="Q28">
        <v>4</v>
      </c>
      <c r="R28">
        <v>15.972229757181761</v>
      </c>
      <c r="S28" t="s">
        <v>62</v>
      </c>
      <c r="T28">
        <v>2.1193197367249228</v>
      </c>
      <c r="U28" t="s">
        <v>45</v>
      </c>
      <c r="V28" t="s">
        <v>46</v>
      </c>
      <c r="W28">
        <v>617.8669164583772</v>
      </c>
    </row>
    <row r="29" spans="1:23">
      <c r="A29" t="s">
        <v>55</v>
      </c>
      <c r="B29" t="s">
        <v>79</v>
      </c>
      <c r="C29">
        <v>92.557360812402024</v>
      </c>
      <c r="D29">
        <v>42</v>
      </c>
      <c r="E29">
        <v>352</v>
      </c>
      <c r="F29">
        <v>2686.4572235759833</v>
      </c>
      <c r="G29" t="s">
        <v>36</v>
      </c>
      <c r="H29">
        <v>47</v>
      </c>
      <c r="I29">
        <v>9</v>
      </c>
      <c r="J29">
        <v>62</v>
      </c>
      <c r="K29">
        <v>8</v>
      </c>
      <c r="L29" s="13">
        <v>141</v>
      </c>
      <c r="M29" t="s">
        <v>41</v>
      </c>
      <c r="N29" t="s">
        <v>42</v>
      </c>
      <c r="O29" t="s">
        <v>27</v>
      </c>
      <c r="P29">
        <v>291</v>
      </c>
      <c r="Q29">
        <v>4</v>
      </c>
      <c r="R29">
        <v>10.528245070042162</v>
      </c>
      <c r="S29" t="s">
        <v>44</v>
      </c>
      <c r="T29">
        <v>2.8646678378833732</v>
      </c>
      <c r="U29" t="s">
        <v>54</v>
      </c>
      <c r="V29" t="s">
        <v>30</v>
      </c>
      <c r="W29">
        <v>762.45918215568372</v>
      </c>
    </row>
    <row r="30" spans="1:23">
      <c r="A30" t="s">
        <v>55</v>
      </c>
      <c r="B30" t="s">
        <v>80</v>
      </c>
      <c r="C30">
        <v>2.3972747055971411</v>
      </c>
      <c r="D30">
        <v>12</v>
      </c>
      <c r="E30">
        <v>394</v>
      </c>
      <c r="F30">
        <v>6117.3246150839923</v>
      </c>
      <c r="G30" t="s">
        <v>33</v>
      </c>
      <c r="H30">
        <v>48</v>
      </c>
      <c r="I30">
        <v>15</v>
      </c>
      <c r="J30">
        <v>24</v>
      </c>
      <c r="K30">
        <v>4</v>
      </c>
      <c r="L30" s="13">
        <v>598</v>
      </c>
      <c r="M30" t="s">
        <v>25</v>
      </c>
      <c r="N30" t="s">
        <v>37</v>
      </c>
      <c r="O30" t="s">
        <v>27</v>
      </c>
      <c r="P30">
        <v>171</v>
      </c>
      <c r="Q30">
        <v>7</v>
      </c>
      <c r="R30">
        <v>59.429381810691567</v>
      </c>
      <c r="S30" t="s">
        <v>44</v>
      </c>
      <c r="T30">
        <v>0.81575707929567198</v>
      </c>
      <c r="U30" t="s">
        <v>38</v>
      </c>
      <c r="V30" t="s">
        <v>46</v>
      </c>
      <c r="W30">
        <v>123.43702751182708</v>
      </c>
    </row>
    <row r="31" spans="1:23">
      <c r="A31" t="s">
        <v>55</v>
      </c>
      <c r="B31" t="s">
        <v>81</v>
      </c>
      <c r="C31">
        <v>63.447559185207332</v>
      </c>
      <c r="D31">
        <v>3</v>
      </c>
      <c r="E31">
        <v>253</v>
      </c>
      <c r="F31">
        <v>8318.9031946171781</v>
      </c>
      <c r="G31" t="s">
        <v>33</v>
      </c>
      <c r="H31">
        <v>45</v>
      </c>
      <c r="I31">
        <v>5</v>
      </c>
      <c r="J31">
        <v>67</v>
      </c>
      <c r="K31">
        <v>7</v>
      </c>
      <c r="L31" s="13">
        <v>587</v>
      </c>
      <c r="M31" t="s">
        <v>25</v>
      </c>
      <c r="N31" t="s">
        <v>37</v>
      </c>
      <c r="O31" t="s">
        <v>43</v>
      </c>
      <c r="P31">
        <v>329</v>
      </c>
      <c r="Q31">
        <v>7</v>
      </c>
      <c r="R31">
        <v>39.292875586065747</v>
      </c>
      <c r="S31" t="s">
        <v>62</v>
      </c>
      <c r="T31">
        <v>3.8780989365884881</v>
      </c>
      <c r="U31" t="s">
        <v>29</v>
      </c>
      <c r="V31" t="s">
        <v>30</v>
      </c>
      <c r="W31">
        <v>764.93537594070813</v>
      </c>
    </row>
    <row r="32" spans="1:23">
      <c r="A32" t="s">
        <v>22</v>
      </c>
      <c r="B32" t="s">
        <v>82</v>
      </c>
      <c r="C32">
        <v>8.0228592105263932</v>
      </c>
      <c r="D32">
        <v>10</v>
      </c>
      <c r="E32">
        <v>327</v>
      </c>
      <c r="F32">
        <v>2766.3423668660889</v>
      </c>
      <c r="G32" t="s">
        <v>53</v>
      </c>
      <c r="H32">
        <v>60</v>
      </c>
      <c r="I32">
        <v>26</v>
      </c>
      <c r="J32">
        <v>35</v>
      </c>
      <c r="K32">
        <v>7</v>
      </c>
      <c r="L32" s="13">
        <v>929</v>
      </c>
      <c r="M32" t="s">
        <v>25</v>
      </c>
      <c r="N32" t="s">
        <v>50</v>
      </c>
      <c r="O32" t="s">
        <v>43</v>
      </c>
      <c r="P32">
        <v>806</v>
      </c>
      <c r="Q32">
        <v>30</v>
      </c>
      <c r="R32">
        <v>51.634893400109334</v>
      </c>
      <c r="S32" t="s">
        <v>28</v>
      </c>
      <c r="T32">
        <v>0.96539470535239313</v>
      </c>
      <c r="U32" t="s">
        <v>29</v>
      </c>
      <c r="V32" t="s">
        <v>39</v>
      </c>
      <c r="W32">
        <v>880.08098824716103</v>
      </c>
    </row>
    <row r="33" spans="1:23">
      <c r="A33" t="s">
        <v>31</v>
      </c>
      <c r="B33" t="s">
        <v>83</v>
      </c>
      <c r="C33">
        <v>50.847393051718697</v>
      </c>
      <c r="D33">
        <v>28</v>
      </c>
      <c r="E33">
        <v>168</v>
      </c>
      <c r="F33">
        <v>9655.1351027193978</v>
      </c>
      <c r="G33" t="s">
        <v>53</v>
      </c>
      <c r="H33">
        <v>6</v>
      </c>
      <c r="I33">
        <v>17</v>
      </c>
      <c r="J33">
        <v>44</v>
      </c>
      <c r="K33">
        <v>4</v>
      </c>
      <c r="L33" s="13">
        <v>665</v>
      </c>
      <c r="M33" t="s">
        <v>25</v>
      </c>
      <c r="N33" t="s">
        <v>26</v>
      </c>
      <c r="O33" t="s">
        <v>60</v>
      </c>
      <c r="P33">
        <v>461</v>
      </c>
      <c r="Q33">
        <v>8</v>
      </c>
      <c r="R33">
        <v>60.25114566159808</v>
      </c>
      <c r="S33" t="s">
        <v>28</v>
      </c>
      <c r="T33">
        <v>2.9890000066550746</v>
      </c>
      <c r="U33" t="s">
        <v>45</v>
      </c>
      <c r="V33" t="s">
        <v>39</v>
      </c>
      <c r="W33">
        <v>609.37920661842668</v>
      </c>
    </row>
    <row r="34" spans="1:23">
      <c r="A34" t="s">
        <v>31</v>
      </c>
      <c r="B34" t="s">
        <v>84</v>
      </c>
      <c r="C34">
        <v>79.209936015656723</v>
      </c>
      <c r="D34">
        <v>43</v>
      </c>
      <c r="E34">
        <v>781</v>
      </c>
      <c r="F34">
        <v>9571.5504873278187</v>
      </c>
      <c r="G34" t="s">
        <v>36</v>
      </c>
      <c r="H34">
        <v>89</v>
      </c>
      <c r="I34">
        <v>13</v>
      </c>
      <c r="J34">
        <v>64</v>
      </c>
      <c r="K34">
        <v>4</v>
      </c>
      <c r="L34" s="13">
        <v>660</v>
      </c>
      <c r="M34" t="s">
        <v>41</v>
      </c>
      <c r="N34" t="s">
        <v>26</v>
      </c>
      <c r="O34" t="s">
        <v>43</v>
      </c>
      <c r="P34">
        <v>737</v>
      </c>
      <c r="Q34">
        <v>7</v>
      </c>
      <c r="R34">
        <v>29.692467153749774</v>
      </c>
      <c r="S34" t="s">
        <v>62</v>
      </c>
      <c r="T34">
        <v>1.9460361193861131</v>
      </c>
      <c r="U34" t="s">
        <v>29</v>
      </c>
      <c r="V34" t="s">
        <v>46</v>
      </c>
      <c r="W34">
        <v>761.17390951487755</v>
      </c>
    </row>
    <row r="35" spans="1:23">
      <c r="A35" t="s">
        <v>55</v>
      </c>
      <c r="B35" t="s">
        <v>85</v>
      </c>
      <c r="C35">
        <v>64.795435000155607</v>
      </c>
      <c r="D35">
        <v>63</v>
      </c>
      <c r="E35">
        <v>616</v>
      </c>
      <c r="F35">
        <v>5149.9983504080365</v>
      </c>
      <c r="G35" t="s">
        <v>24</v>
      </c>
      <c r="H35">
        <v>4</v>
      </c>
      <c r="I35">
        <v>17</v>
      </c>
      <c r="J35">
        <v>95</v>
      </c>
      <c r="K35">
        <v>9</v>
      </c>
      <c r="L35" s="13">
        <v>1097</v>
      </c>
      <c r="M35" t="s">
        <v>41</v>
      </c>
      <c r="N35" t="s">
        <v>42</v>
      </c>
      <c r="O35" t="s">
        <v>60</v>
      </c>
      <c r="P35">
        <v>251</v>
      </c>
      <c r="Q35">
        <v>23</v>
      </c>
      <c r="R35">
        <v>23.853427512896133</v>
      </c>
      <c r="S35" t="s">
        <v>44</v>
      </c>
      <c r="T35">
        <v>3.5410460122509231</v>
      </c>
      <c r="U35" t="s">
        <v>54</v>
      </c>
      <c r="V35" t="s">
        <v>46</v>
      </c>
      <c r="W35">
        <v>371.25529551987103</v>
      </c>
    </row>
    <row r="36" spans="1:23">
      <c r="A36" t="s">
        <v>31</v>
      </c>
      <c r="B36" t="s">
        <v>86</v>
      </c>
      <c r="C36">
        <v>37.467592329842461</v>
      </c>
      <c r="D36">
        <v>96</v>
      </c>
      <c r="E36">
        <v>602</v>
      </c>
      <c r="F36">
        <v>9061.7108955077238</v>
      </c>
      <c r="G36" t="s">
        <v>36</v>
      </c>
      <c r="H36">
        <v>1</v>
      </c>
      <c r="I36">
        <v>26</v>
      </c>
      <c r="J36">
        <v>21</v>
      </c>
      <c r="K36">
        <v>7</v>
      </c>
      <c r="L36" s="13">
        <v>436</v>
      </c>
      <c r="M36" t="s">
        <v>34</v>
      </c>
      <c r="N36" t="s">
        <v>37</v>
      </c>
      <c r="O36" t="s">
        <v>60</v>
      </c>
      <c r="P36">
        <v>452</v>
      </c>
      <c r="Q36">
        <v>10</v>
      </c>
      <c r="R36">
        <v>10.754272815029333</v>
      </c>
      <c r="S36" t="s">
        <v>62</v>
      </c>
      <c r="T36">
        <v>0.64660455937205485</v>
      </c>
      <c r="U36" t="s">
        <v>29</v>
      </c>
      <c r="V36" t="s">
        <v>30</v>
      </c>
      <c r="W36">
        <v>510.3580004335235</v>
      </c>
    </row>
    <row r="37" spans="1:23">
      <c r="A37" t="s">
        <v>55</v>
      </c>
      <c r="B37" t="s">
        <v>87</v>
      </c>
      <c r="C37">
        <v>84.957786816350435</v>
      </c>
      <c r="D37">
        <v>11</v>
      </c>
      <c r="E37">
        <v>449</v>
      </c>
      <c r="F37">
        <v>6541.3293448024651</v>
      </c>
      <c r="G37" t="s">
        <v>33</v>
      </c>
      <c r="H37">
        <v>42</v>
      </c>
      <c r="I37">
        <v>27</v>
      </c>
      <c r="J37">
        <v>85</v>
      </c>
      <c r="K37">
        <v>8</v>
      </c>
      <c r="L37" s="13">
        <v>191</v>
      </c>
      <c r="M37" t="s">
        <v>41</v>
      </c>
      <c r="N37" t="s">
        <v>37</v>
      </c>
      <c r="O37" t="s">
        <v>48</v>
      </c>
      <c r="P37">
        <v>367</v>
      </c>
      <c r="Q37">
        <v>2</v>
      </c>
      <c r="R37">
        <v>58.004787044743765</v>
      </c>
      <c r="S37" t="s">
        <v>62</v>
      </c>
      <c r="T37">
        <v>0.54115409806058112</v>
      </c>
      <c r="U37" t="s">
        <v>54</v>
      </c>
      <c r="V37" t="s">
        <v>39</v>
      </c>
      <c r="W37">
        <v>553.42047123035582</v>
      </c>
    </row>
    <row r="38" spans="1:23">
      <c r="A38" t="s">
        <v>31</v>
      </c>
      <c r="B38" t="s">
        <v>88</v>
      </c>
      <c r="C38">
        <v>9.8130025787540518</v>
      </c>
      <c r="D38">
        <v>34</v>
      </c>
      <c r="E38">
        <v>963</v>
      </c>
      <c r="F38">
        <v>7573.4024578487333</v>
      </c>
      <c r="G38" t="s">
        <v>33</v>
      </c>
      <c r="H38">
        <v>18</v>
      </c>
      <c r="I38">
        <v>23</v>
      </c>
      <c r="J38">
        <v>28</v>
      </c>
      <c r="K38">
        <v>3</v>
      </c>
      <c r="L38" s="13">
        <v>738</v>
      </c>
      <c r="M38" t="s">
        <v>25</v>
      </c>
      <c r="N38" t="s">
        <v>59</v>
      </c>
      <c r="O38" t="s">
        <v>48</v>
      </c>
      <c r="P38">
        <v>671</v>
      </c>
      <c r="Q38">
        <v>19</v>
      </c>
      <c r="R38">
        <v>45.531364237162144</v>
      </c>
      <c r="S38" t="s">
        <v>44</v>
      </c>
      <c r="T38">
        <v>3.8055333792433537</v>
      </c>
      <c r="U38" t="s">
        <v>38</v>
      </c>
      <c r="V38" t="s">
        <v>39</v>
      </c>
      <c r="W38">
        <v>403.8089742481805</v>
      </c>
    </row>
    <row r="39" spans="1:23">
      <c r="A39" t="s">
        <v>31</v>
      </c>
      <c r="B39" t="s">
        <v>89</v>
      </c>
      <c r="C39">
        <v>23.399844752614349</v>
      </c>
      <c r="D39">
        <v>5</v>
      </c>
      <c r="E39">
        <v>963</v>
      </c>
      <c r="F39">
        <v>2438.3399304700288</v>
      </c>
      <c r="G39" t="s">
        <v>33</v>
      </c>
      <c r="H39">
        <v>25</v>
      </c>
      <c r="I39">
        <v>8</v>
      </c>
      <c r="J39">
        <v>21</v>
      </c>
      <c r="K39">
        <v>9</v>
      </c>
      <c r="L39" s="13">
        <v>858</v>
      </c>
      <c r="M39" t="s">
        <v>34</v>
      </c>
      <c r="N39" t="s">
        <v>26</v>
      </c>
      <c r="O39" t="s">
        <v>43</v>
      </c>
      <c r="P39">
        <v>867</v>
      </c>
      <c r="Q39">
        <v>15</v>
      </c>
      <c r="R39">
        <v>34.343277465075381</v>
      </c>
      <c r="S39" t="s">
        <v>28</v>
      </c>
      <c r="T39">
        <v>2.6102880848481131</v>
      </c>
      <c r="U39" t="s">
        <v>54</v>
      </c>
      <c r="V39" t="s">
        <v>46</v>
      </c>
      <c r="W39">
        <v>183.93296804359437</v>
      </c>
    </row>
    <row r="40" spans="1:23">
      <c r="A40" t="s">
        <v>55</v>
      </c>
      <c r="B40" t="s">
        <v>90</v>
      </c>
      <c r="C40">
        <v>52.075930682707799</v>
      </c>
      <c r="D40">
        <v>75</v>
      </c>
      <c r="E40">
        <v>705</v>
      </c>
      <c r="F40">
        <v>9692.3180402184316</v>
      </c>
      <c r="G40" t="s">
        <v>24</v>
      </c>
      <c r="H40">
        <v>69</v>
      </c>
      <c r="I40">
        <v>1</v>
      </c>
      <c r="J40">
        <v>88</v>
      </c>
      <c r="K40">
        <v>5</v>
      </c>
      <c r="L40" s="13">
        <v>1120</v>
      </c>
      <c r="M40" t="s">
        <v>25</v>
      </c>
      <c r="N40" t="s">
        <v>42</v>
      </c>
      <c r="O40" t="s">
        <v>27</v>
      </c>
      <c r="P40">
        <v>841</v>
      </c>
      <c r="Q40">
        <v>12</v>
      </c>
      <c r="R40">
        <v>5.9306936455283177</v>
      </c>
      <c r="S40" t="s">
        <v>28</v>
      </c>
      <c r="T40">
        <v>0.61332689916450744</v>
      </c>
      <c r="U40" t="s">
        <v>38</v>
      </c>
      <c r="V40" t="s">
        <v>30</v>
      </c>
      <c r="W40">
        <v>339.67286994860615</v>
      </c>
    </row>
    <row r="41" spans="1:23">
      <c r="A41" t="s">
        <v>31</v>
      </c>
      <c r="B41" t="s">
        <v>91</v>
      </c>
      <c r="C41">
        <v>19.127477265823256</v>
      </c>
      <c r="D41">
        <v>26</v>
      </c>
      <c r="E41">
        <v>176</v>
      </c>
      <c r="F41">
        <v>1912.4656631007608</v>
      </c>
      <c r="G41" t="s">
        <v>33</v>
      </c>
      <c r="H41">
        <v>78</v>
      </c>
      <c r="I41">
        <v>29</v>
      </c>
      <c r="J41">
        <v>34</v>
      </c>
      <c r="K41">
        <v>3</v>
      </c>
      <c r="L41" s="13">
        <v>166</v>
      </c>
      <c r="M41" t="s">
        <v>34</v>
      </c>
      <c r="N41" t="s">
        <v>59</v>
      </c>
      <c r="O41" t="s">
        <v>43</v>
      </c>
      <c r="P41">
        <v>791</v>
      </c>
      <c r="Q41">
        <v>6</v>
      </c>
      <c r="R41">
        <v>9.0058074287816421</v>
      </c>
      <c r="S41" t="s">
        <v>44</v>
      </c>
      <c r="T41">
        <v>1.4519722039968159</v>
      </c>
      <c r="U41" t="s">
        <v>38</v>
      </c>
      <c r="V41" t="s">
        <v>30</v>
      </c>
      <c r="W41">
        <v>653.67299455203317</v>
      </c>
    </row>
    <row r="42" spans="1:23">
      <c r="A42" t="s">
        <v>31</v>
      </c>
      <c r="B42" t="s">
        <v>92</v>
      </c>
      <c r="C42">
        <v>80.541424170940331</v>
      </c>
      <c r="D42">
        <v>97</v>
      </c>
      <c r="E42">
        <v>933</v>
      </c>
      <c r="F42">
        <v>5724.9593504562654</v>
      </c>
      <c r="G42" t="s">
        <v>33</v>
      </c>
      <c r="H42">
        <v>90</v>
      </c>
      <c r="I42">
        <v>20</v>
      </c>
      <c r="J42">
        <v>39</v>
      </c>
      <c r="K42">
        <v>8</v>
      </c>
      <c r="L42" s="13">
        <v>115</v>
      </c>
      <c r="M42" t="s">
        <v>41</v>
      </c>
      <c r="N42" t="s">
        <v>37</v>
      </c>
      <c r="O42" t="s">
        <v>43</v>
      </c>
      <c r="P42">
        <v>793</v>
      </c>
      <c r="Q42">
        <v>1</v>
      </c>
      <c r="R42">
        <v>88.179407104217461</v>
      </c>
      <c r="S42" t="s">
        <v>28</v>
      </c>
      <c r="T42">
        <v>4.2132694305865659</v>
      </c>
      <c r="U42" t="s">
        <v>29</v>
      </c>
      <c r="V42" t="s">
        <v>46</v>
      </c>
      <c r="W42">
        <v>529.80872398069187</v>
      </c>
    </row>
    <row r="43" spans="1:23">
      <c r="A43" t="s">
        <v>31</v>
      </c>
      <c r="B43" t="s">
        <v>93</v>
      </c>
      <c r="C43">
        <v>99.113291615317166</v>
      </c>
      <c r="D43">
        <v>35</v>
      </c>
      <c r="E43">
        <v>556</v>
      </c>
      <c r="F43">
        <v>5521.2052590109715</v>
      </c>
      <c r="G43" t="s">
        <v>33</v>
      </c>
      <c r="H43">
        <v>64</v>
      </c>
      <c r="I43">
        <v>19</v>
      </c>
      <c r="J43">
        <v>38</v>
      </c>
      <c r="K43">
        <v>8</v>
      </c>
      <c r="L43" s="13">
        <v>234</v>
      </c>
      <c r="M43" t="s">
        <v>25</v>
      </c>
      <c r="N43" t="s">
        <v>50</v>
      </c>
      <c r="O43" t="s">
        <v>60</v>
      </c>
      <c r="P43">
        <v>892</v>
      </c>
      <c r="Q43">
        <v>7</v>
      </c>
      <c r="R43">
        <v>95.332064548772493</v>
      </c>
      <c r="S43" t="s">
        <v>44</v>
      </c>
      <c r="T43">
        <v>4.530226239825963E-2</v>
      </c>
      <c r="U43" t="s">
        <v>54</v>
      </c>
      <c r="V43" t="s">
        <v>46</v>
      </c>
      <c r="W43">
        <v>275.52437113130981</v>
      </c>
    </row>
    <row r="44" spans="1:23">
      <c r="A44" t="s">
        <v>31</v>
      </c>
      <c r="B44" t="s">
        <v>94</v>
      </c>
      <c r="C44">
        <v>46.529167614516773</v>
      </c>
      <c r="D44">
        <v>98</v>
      </c>
      <c r="E44">
        <v>155</v>
      </c>
      <c r="F44">
        <v>1839.6094258567639</v>
      </c>
      <c r="G44" t="s">
        <v>33</v>
      </c>
      <c r="H44">
        <v>22</v>
      </c>
      <c r="I44">
        <v>27</v>
      </c>
      <c r="J44">
        <v>57</v>
      </c>
      <c r="K44">
        <v>4</v>
      </c>
      <c r="L44" s="13">
        <v>786</v>
      </c>
      <c r="M44" t="s">
        <v>41</v>
      </c>
      <c r="N44" t="s">
        <v>42</v>
      </c>
      <c r="O44" t="s">
        <v>51</v>
      </c>
      <c r="P44">
        <v>179</v>
      </c>
      <c r="Q44">
        <v>7</v>
      </c>
      <c r="R44">
        <v>96.422820639571867</v>
      </c>
      <c r="S44" t="s">
        <v>44</v>
      </c>
      <c r="T44">
        <v>4.9392552886209478</v>
      </c>
      <c r="U44" t="s">
        <v>29</v>
      </c>
      <c r="V44" t="s">
        <v>46</v>
      </c>
      <c r="W44">
        <v>635.65712050199193</v>
      </c>
    </row>
    <row r="45" spans="1:23">
      <c r="A45" t="s">
        <v>22</v>
      </c>
      <c r="B45" t="s">
        <v>95</v>
      </c>
      <c r="C45">
        <v>11.743271776309239</v>
      </c>
      <c r="D45">
        <v>6</v>
      </c>
      <c r="E45">
        <v>598</v>
      </c>
      <c r="F45">
        <v>5737.425599119023</v>
      </c>
      <c r="G45" t="s">
        <v>36</v>
      </c>
      <c r="H45">
        <v>36</v>
      </c>
      <c r="I45">
        <v>29</v>
      </c>
      <c r="J45">
        <v>85</v>
      </c>
      <c r="K45">
        <v>9</v>
      </c>
      <c r="L45" s="13">
        <v>685</v>
      </c>
      <c r="M45" t="s">
        <v>25</v>
      </c>
      <c r="N45" t="s">
        <v>42</v>
      </c>
      <c r="O45" t="s">
        <v>27</v>
      </c>
      <c r="P45">
        <v>206</v>
      </c>
      <c r="Q45">
        <v>23</v>
      </c>
      <c r="R45">
        <v>26.27736595733241</v>
      </c>
      <c r="S45" t="s">
        <v>28</v>
      </c>
      <c r="T45">
        <v>0.37230476798509771</v>
      </c>
      <c r="U45" t="s">
        <v>38</v>
      </c>
      <c r="V45" t="s">
        <v>46</v>
      </c>
      <c r="W45">
        <v>716.04411975934067</v>
      </c>
    </row>
    <row r="46" spans="1:23">
      <c r="A46" t="s">
        <v>55</v>
      </c>
      <c r="B46" t="s">
        <v>96</v>
      </c>
      <c r="C46">
        <v>51.35579091311039</v>
      </c>
      <c r="D46">
        <v>34</v>
      </c>
      <c r="E46">
        <v>919</v>
      </c>
      <c r="F46">
        <v>7152.2860494355145</v>
      </c>
      <c r="G46" t="s">
        <v>33</v>
      </c>
      <c r="H46">
        <v>13</v>
      </c>
      <c r="I46">
        <v>19</v>
      </c>
      <c r="J46">
        <v>72</v>
      </c>
      <c r="K46">
        <v>6</v>
      </c>
      <c r="L46" s="13">
        <v>537</v>
      </c>
      <c r="M46" t="s">
        <v>41</v>
      </c>
      <c r="N46" t="s">
        <v>59</v>
      </c>
      <c r="O46" t="s">
        <v>48</v>
      </c>
      <c r="P46">
        <v>834</v>
      </c>
      <c r="Q46">
        <v>18</v>
      </c>
      <c r="R46">
        <v>22.554106620887744</v>
      </c>
      <c r="S46" t="s">
        <v>44</v>
      </c>
      <c r="T46">
        <v>2.9626263204548819</v>
      </c>
      <c r="U46" t="s">
        <v>45</v>
      </c>
      <c r="V46" t="s">
        <v>46</v>
      </c>
      <c r="W46">
        <v>610.45326961922774</v>
      </c>
    </row>
    <row r="47" spans="1:23">
      <c r="A47" t="s">
        <v>22</v>
      </c>
      <c r="B47" t="s">
        <v>97</v>
      </c>
      <c r="C47">
        <v>33.78413803306551</v>
      </c>
      <c r="D47">
        <v>1</v>
      </c>
      <c r="E47">
        <v>24</v>
      </c>
      <c r="F47">
        <v>5267.9568075105208</v>
      </c>
      <c r="G47" t="s">
        <v>53</v>
      </c>
      <c r="H47">
        <v>93</v>
      </c>
      <c r="I47">
        <v>7</v>
      </c>
      <c r="J47">
        <v>52</v>
      </c>
      <c r="K47">
        <v>6</v>
      </c>
      <c r="L47" s="13">
        <v>326</v>
      </c>
      <c r="M47" t="s">
        <v>25</v>
      </c>
      <c r="N47" t="s">
        <v>59</v>
      </c>
      <c r="O47" t="s">
        <v>60</v>
      </c>
      <c r="P47">
        <v>794</v>
      </c>
      <c r="Q47">
        <v>25</v>
      </c>
      <c r="R47">
        <v>66.312544439991655</v>
      </c>
      <c r="S47" t="s">
        <v>62</v>
      </c>
      <c r="T47">
        <v>3.219604612084106</v>
      </c>
      <c r="U47" t="s">
        <v>45</v>
      </c>
      <c r="V47" t="s">
        <v>46</v>
      </c>
      <c r="W47">
        <v>495.30569702847396</v>
      </c>
    </row>
    <row r="48" spans="1:23">
      <c r="A48" t="s">
        <v>22</v>
      </c>
      <c r="B48" t="s">
        <v>98</v>
      </c>
      <c r="C48">
        <v>27.082207199888899</v>
      </c>
      <c r="D48">
        <v>75</v>
      </c>
      <c r="E48">
        <v>859</v>
      </c>
      <c r="F48">
        <v>2556.7673606335957</v>
      </c>
      <c r="G48" t="s">
        <v>24</v>
      </c>
      <c r="H48">
        <v>92</v>
      </c>
      <c r="I48">
        <v>29</v>
      </c>
      <c r="J48">
        <v>6</v>
      </c>
      <c r="K48">
        <v>8</v>
      </c>
      <c r="L48" s="13">
        <v>1068</v>
      </c>
      <c r="M48" t="s">
        <v>25</v>
      </c>
      <c r="N48" t="s">
        <v>26</v>
      </c>
      <c r="O48" t="s">
        <v>60</v>
      </c>
      <c r="P48">
        <v>870</v>
      </c>
      <c r="Q48">
        <v>23</v>
      </c>
      <c r="R48">
        <v>77.32235321105162</v>
      </c>
      <c r="S48" t="s">
        <v>28</v>
      </c>
      <c r="T48">
        <v>3.6486105925362033</v>
      </c>
      <c r="U48" t="s">
        <v>29</v>
      </c>
      <c r="V48" t="s">
        <v>30</v>
      </c>
      <c r="W48">
        <v>380.43593711196428</v>
      </c>
    </row>
    <row r="49" spans="1:23">
      <c r="A49" t="s">
        <v>31</v>
      </c>
      <c r="B49" t="s">
        <v>99</v>
      </c>
      <c r="C49">
        <v>95.712135880936088</v>
      </c>
      <c r="D49">
        <v>93</v>
      </c>
      <c r="E49">
        <v>910</v>
      </c>
      <c r="F49">
        <v>7089.4742499341864</v>
      </c>
      <c r="G49" t="s">
        <v>53</v>
      </c>
      <c r="H49">
        <v>4</v>
      </c>
      <c r="I49">
        <v>15</v>
      </c>
      <c r="J49">
        <v>51</v>
      </c>
      <c r="K49">
        <v>9</v>
      </c>
      <c r="L49" s="13">
        <v>712</v>
      </c>
      <c r="M49" t="s">
        <v>25</v>
      </c>
      <c r="N49" t="s">
        <v>37</v>
      </c>
      <c r="O49" t="s">
        <v>43</v>
      </c>
      <c r="P49">
        <v>964</v>
      </c>
      <c r="Q49">
        <v>20</v>
      </c>
      <c r="R49">
        <v>19.712992911293647</v>
      </c>
      <c r="S49" t="s">
        <v>28</v>
      </c>
      <c r="T49">
        <v>0.38057358671321373</v>
      </c>
      <c r="U49" t="s">
        <v>45</v>
      </c>
      <c r="V49" t="s">
        <v>46</v>
      </c>
      <c r="W49">
        <v>581.60235505058677</v>
      </c>
    </row>
    <row r="50" spans="1:23">
      <c r="A50" t="s">
        <v>22</v>
      </c>
      <c r="B50" t="s">
        <v>100</v>
      </c>
      <c r="C50">
        <v>76.035544426891718</v>
      </c>
      <c r="D50">
        <v>28</v>
      </c>
      <c r="E50">
        <v>29</v>
      </c>
      <c r="F50">
        <v>7397.0710045871801</v>
      </c>
      <c r="G50" t="s">
        <v>24</v>
      </c>
      <c r="H50">
        <v>30</v>
      </c>
      <c r="I50">
        <v>16</v>
      </c>
      <c r="J50">
        <v>9</v>
      </c>
      <c r="K50">
        <v>3</v>
      </c>
      <c r="L50" s="13">
        <v>464</v>
      </c>
      <c r="M50" t="s">
        <v>41</v>
      </c>
      <c r="N50" t="s">
        <v>59</v>
      </c>
      <c r="O50" t="s">
        <v>27</v>
      </c>
      <c r="P50">
        <v>109</v>
      </c>
      <c r="Q50">
        <v>18</v>
      </c>
      <c r="R50">
        <v>23.126363582464776</v>
      </c>
      <c r="S50" t="s">
        <v>44</v>
      </c>
      <c r="T50">
        <v>1.6981125407144038</v>
      </c>
      <c r="U50" t="s">
        <v>45</v>
      </c>
      <c r="V50" t="s">
        <v>30</v>
      </c>
      <c r="W50">
        <v>768.65191395437</v>
      </c>
    </row>
    <row r="51" spans="1:23">
      <c r="A51" t="s">
        <v>55</v>
      </c>
      <c r="B51" t="s">
        <v>101</v>
      </c>
      <c r="C51">
        <v>78.897913205640037</v>
      </c>
      <c r="D51">
        <v>19</v>
      </c>
      <c r="E51">
        <v>99</v>
      </c>
      <c r="F51">
        <v>8001.6132065190022</v>
      </c>
      <c r="G51" t="s">
        <v>36</v>
      </c>
      <c r="H51">
        <v>97</v>
      </c>
      <c r="I51">
        <v>24</v>
      </c>
      <c r="J51">
        <v>9</v>
      </c>
      <c r="K51">
        <v>6</v>
      </c>
      <c r="L51" s="13">
        <v>384</v>
      </c>
      <c r="M51" t="s">
        <v>41</v>
      </c>
      <c r="N51" t="s">
        <v>42</v>
      </c>
      <c r="O51" t="s">
        <v>48</v>
      </c>
      <c r="P51">
        <v>177</v>
      </c>
      <c r="Q51">
        <v>28</v>
      </c>
      <c r="R51">
        <v>14.147815443979217</v>
      </c>
      <c r="S51" t="s">
        <v>62</v>
      </c>
      <c r="T51">
        <v>2.8258139854001318</v>
      </c>
      <c r="U51" t="s">
        <v>45</v>
      </c>
      <c r="V51" t="s">
        <v>46</v>
      </c>
      <c r="W51">
        <v>336.89016851997792</v>
      </c>
    </row>
    <row r="52" spans="1:23">
      <c r="A52" t="s">
        <v>55</v>
      </c>
      <c r="B52" t="s">
        <v>102</v>
      </c>
      <c r="C52">
        <v>14.203484264803022</v>
      </c>
      <c r="D52">
        <v>91</v>
      </c>
      <c r="E52">
        <v>633</v>
      </c>
      <c r="F52">
        <v>5910.8853896688988</v>
      </c>
      <c r="G52" t="s">
        <v>33</v>
      </c>
      <c r="H52">
        <v>31</v>
      </c>
      <c r="I52">
        <v>23</v>
      </c>
      <c r="J52">
        <v>82</v>
      </c>
      <c r="K52">
        <v>10</v>
      </c>
      <c r="L52" s="13">
        <v>615</v>
      </c>
      <c r="M52" t="s">
        <v>34</v>
      </c>
      <c r="N52" t="s">
        <v>59</v>
      </c>
      <c r="O52" t="s">
        <v>48</v>
      </c>
      <c r="P52">
        <v>306</v>
      </c>
      <c r="Q52">
        <v>21</v>
      </c>
      <c r="R52">
        <v>45.178757924634517</v>
      </c>
      <c r="S52" t="s">
        <v>44</v>
      </c>
      <c r="T52">
        <v>4.7548008046711852</v>
      </c>
      <c r="U52" t="s">
        <v>45</v>
      </c>
      <c r="V52" t="s">
        <v>30</v>
      </c>
      <c r="W52">
        <v>496.24865029194046</v>
      </c>
    </row>
    <row r="53" spans="1:23">
      <c r="A53" t="s">
        <v>22</v>
      </c>
      <c r="B53" t="s">
        <v>103</v>
      </c>
      <c r="C53">
        <v>26.70076097246173</v>
      </c>
      <c r="D53">
        <v>61</v>
      </c>
      <c r="E53">
        <v>154</v>
      </c>
      <c r="F53">
        <v>9866.465457979697</v>
      </c>
      <c r="G53" t="s">
        <v>53</v>
      </c>
      <c r="H53">
        <v>100</v>
      </c>
      <c r="I53">
        <v>4</v>
      </c>
      <c r="J53">
        <v>52</v>
      </c>
      <c r="K53">
        <v>1</v>
      </c>
      <c r="L53" s="13">
        <v>484</v>
      </c>
      <c r="M53" t="s">
        <v>34</v>
      </c>
      <c r="N53" t="s">
        <v>42</v>
      </c>
      <c r="O53" t="s">
        <v>51</v>
      </c>
      <c r="P53">
        <v>673</v>
      </c>
      <c r="Q53">
        <v>28</v>
      </c>
      <c r="R53">
        <v>14.190328344569981</v>
      </c>
      <c r="S53" t="s">
        <v>28</v>
      </c>
      <c r="T53">
        <v>1.7729511720835571</v>
      </c>
      <c r="U53" t="s">
        <v>29</v>
      </c>
      <c r="V53" t="s">
        <v>46</v>
      </c>
      <c r="W53">
        <v>694.98231757944586</v>
      </c>
    </row>
    <row r="54" spans="1:23">
      <c r="A54" t="s">
        <v>31</v>
      </c>
      <c r="B54" t="s">
        <v>104</v>
      </c>
      <c r="C54">
        <v>98.031829656465078</v>
      </c>
      <c r="D54">
        <v>1</v>
      </c>
      <c r="E54">
        <v>820</v>
      </c>
      <c r="F54">
        <v>9435.7626089121295</v>
      </c>
      <c r="G54" t="s">
        <v>53</v>
      </c>
      <c r="H54">
        <v>64</v>
      </c>
      <c r="I54">
        <v>11</v>
      </c>
      <c r="J54">
        <v>11</v>
      </c>
      <c r="K54">
        <v>1</v>
      </c>
      <c r="L54" s="13">
        <v>583</v>
      </c>
      <c r="M54" t="s">
        <v>25</v>
      </c>
      <c r="N54" t="s">
        <v>37</v>
      </c>
      <c r="O54" t="s">
        <v>27</v>
      </c>
      <c r="P54">
        <v>727</v>
      </c>
      <c r="Q54">
        <v>27</v>
      </c>
      <c r="R54">
        <v>9.1668491485971515</v>
      </c>
      <c r="S54" t="s">
        <v>28</v>
      </c>
      <c r="T54">
        <v>2.1224716191438247</v>
      </c>
      <c r="U54" t="s">
        <v>38</v>
      </c>
      <c r="V54" t="s">
        <v>39</v>
      </c>
      <c r="W54">
        <v>602.89849883838338</v>
      </c>
    </row>
    <row r="55" spans="1:23">
      <c r="A55" t="s">
        <v>31</v>
      </c>
      <c r="B55" t="s">
        <v>105</v>
      </c>
      <c r="C55">
        <v>30.341470711214214</v>
      </c>
      <c r="D55">
        <v>93</v>
      </c>
      <c r="E55">
        <v>242</v>
      </c>
      <c r="F55">
        <v>8232.3348294258212</v>
      </c>
      <c r="G55" t="s">
        <v>53</v>
      </c>
      <c r="H55">
        <v>96</v>
      </c>
      <c r="I55">
        <v>25</v>
      </c>
      <c r="J55">
        <v>54</v>
      </c>
      <c r="K55">
        <v>3</v>
      </c>
      <c r="L55" s="13">
        <v>923</v>
      </c>
      <c r="M55" t="s">
        <v>25</v>
      </c>
      <c r="N55" t="s">
        <v>37</v>
      </c>
      <c r="O55" t="s">
        <v>48</v>
      </c>
      <c r="P55">
        <v>631</v>
      </c>
      <c r="Q55">
        <v>17</v>
      </c>
      <c r="R55">
        <v>83.344058991677969</v>
      </c>
      <c r="S55" t="s">
        <v>28</v>
      </c>
      <c r="T55">
        <v>1.4103475760760271</v>
      </c>
      <c r="U55" t="s">
        <v>38</v>
      </c>
      <c r="V55" t="s">
        <v>30</v>
      </c>
      <c r="W55">
        <v>750.73784066827091</v>
      </c>
    </row>
    <row r="56" spans="1:23">
      <c r="A56" t="s">
        <v>22</v>
      </c>
      <c r="B56" t="s">
        <v>106</v>
      </c>
      <c r="C56">
        <v>31.146243160240854</v>
      </c>
      <c r="D56">
        <v>11</v>
      </c>
      <c r="E56">
        <v>622</v>
      </c>
      <c r="F56">
        <v>6088.0214799408586</v>
      </c>
      <c r="G56" t="s">
        <v>24</v>
      </c>
      <c r="H56">
        <v>33</v>
      </c>
      <c r="I56">
        <v>22</v>
      </c>
      <c r="J56">
        <v>61</v>
      </c>
      <c r="K56">
        <v>3</v>
      </c>
      <c r="L56" s="13">
        <v>239</v>
      </c>
      <c r="M56" t="s">
        <v>25</v>
      </c>
      <c r="N56" t="s">
        <v>37</v>
      </c>
      <c r="O56" t="s">
        <v>43</v>
      </c>
      <c r="P56">
        <v>497</v>
      </c>
      <c r="Q56">
        <v>29</v>
      </c>
      <c r="R56">
        <v>30.186023375822508</v>
      </c>
      <c r="S56" t="s">
        <v>62</v>
      </c>
      <c r="T56">
        <v>2.4787719755397477</v>
      </c>
      <c r="U56" t="s">
        <v>29</v>
      </c>
      <c r="V56" t="s">
        <v>30</v>
      </c>
      <c r="W56">
        <v>814.06999658218751</v>
      </c>
    </row>
    <row r="57" spans="1:23">
      <c r="A57" t="s">
        <v>22</v>
      </c>
      <c r="B57" t="s">
        <v>107</v>
      </c>
      <c r="C57">
        <v>79.855058340789427</v>
      </c>
      <c r="D57">
        <v>16</v>
      </c>
      <c r="E57">
        <v>701</v>
      </c>
      <c r="F57">
        <v>2925.6751703038126</v>
      </c>
      <c r="G57" t="s">
        <v>53</v>
      </c>
      <c r="H57">
        <v>97</v>
      </c>
      <c r="I57">
        <v>11</v>
      </c>
      <c r="J57">
        <v>11</v>
      </c>
      <c r="K57">
        <v>5</v>
      </c>
      <c r="L57" s="13">
        <v>1170</v>
      </c>
      <c r="M57" t="s">
        <v>34</v>
      </c>
      <c r="N57" t="s">
        <v>59</v>
      </c>
      <c r="O57" t="s">
        <v>48</v>
      </c>
      <c r="P57">
        <v>918</v>
      </c>
      <c r="Q57">
        <v>5</v>
      </c>
      <c r="R57">
        <v>30.323545256616502</v>
      </c>
      <c r="S57" t="s">
        <v>44</v>
      </c>
      <c r="T57">
        <v>4.5489196593963852</v>
      </c>
      <c r="U57" t="s">
        <v>54</v>
      </c>
      <c r="V57" t="s">
        <v>30</v>
      </c>
      <c r="W57">
        <v>323.01292795247883</v>
      </c>
    </row>
    <row r="58" spans="1:23">
      <c r="A58" t="s">
        <v>31</v>
      </c>
      <c r="B58" t="s">
        <v>108</v>
      </c>
      <c r="C58">
        <v>20.986386037043378</v>
      </c>
      <c r="D58">
        <v>90</v>
      </c>
      <c r="E58">
        <v>93</v>
      </c>
      <c r="F58">
        <v>4767.020484344137</v>
      </c>
      <c r="G58" t="s">
        <v>24</v>
      </c>
      <c r="H58">
        <v>25</v>
      </c>
      <c r="I58">
        <v>23</v>
      </c>
      <c r="J58">
        <v>83</v>
      </c>
      <c r="K58">
        <v>5</v>
      </c>
      <c r="L58" s="13">
        <v>1083</v>
      </c>
      <c r="M58" t="s">
        <v>41</v>
      </c>
      <c r="N58" t="s">
        <v>37</v>
      </c>
      <c r="O58" t="s">
        <v>27</v>
      </c>
      <c r="P58">
        <v>826</v>
      </c>
      <c r="Q58">
        <v>28</v>
      </c>
      <c r="R58">
        <v>12.836284572832753</v>
      </c>
      <c r="S58" t="s">
        <v>62</v>
      </c>
      <c r="T58">
        <v>1.1737554953874541</v>
      </c>
      <c r="U58" t="s">
        <v>38</v>
      </c>
      <c r="V58" t="s">
        <v>30</v>
      </c>
      <c r="W58">
        <v>832.21080870602168</v>
      </c>
    </row>
    <row r="59" spans="1:23">
      <c r="A59" t="s">
        <v>22</v>
      </c>
      <c r="B59" t="s">
        <v>109</v>
      </c>
      <c r="C59">
        <v>49.263205350734154</v>
      </c>
      <c r="D59">
        <v>65</v>
      </c>
      <c r="E59">
        <v>227</v>
      </c>
      <c r="F59">
        <v>1605.8669003924058</v>
      </c>
      <c r="G59" t="s">
        <v>36</v>
      </c>
      <c r="H59">
        <v>5</v>
      </c>
      <c r="I59">
        <v>18</v>
      </c>
      <c r="J59">
        <v>51</v>
      </c>
      <c r="K59">
        <v>1</v>
      </c>
      <c r="L59" s="13">
        <v>690</v>
      </c>
      <c r="M59" t="s">
        <v>25</v>
      </c>
      <c r="N59" t="s">
        <v>59</v>
      </c>
      <c r="O59" t="s">
        <v>48</v>
      </c>
      <c r="P59">
        <v>588</v>
      </c>
      <c r="Q59">
        <v>25</v>
      </c>
      <c r="R59">
        <v>67.779622987078142</v>
      </c>
      <c r="S59" t="s">
        <v>28</v>
      </c>
      <c r="T59">
        <v>2.511174830212707</v>
      </c>
      <c r="U59" t="s">
        <v>45</v>
      </c>
      <c r="V59" t="s">
        <v>46</v>
      </c>
      <c r="W59">
        <v>482.19123860252813</v>
      </c>
    </row>
    <row r="60" spans="1:23">
      <c r="A60" t="s">
        <v>31</v>
      </c>
      <c r="B60" t="s">
        <v>110</v>
      </c>
      <c r="C60">
        <v>59.84156137728931</v>
      </c>
      <c r="D60">
        <v>81</v>
      </c>
      <c r="E60">
        <v>896</v>
      </c>
      <c r="F60">
        <v>2021.1498103371077</v>
      </c>
      <c r="G60" t="s">
        <v>24</v>
      </c>
      <c r="H60">
        <v>10</v>
      </c>
      <c r="I60">
        <v>5</v>
      </c>
      <c r="J60">
        <v>44</v>
      </c>
      <c r="K60">
        <v>7</v>
      </c>
      <c r="L60" s="13">
        <v>834</v>
      </c>
      <c r="M60" t="s">
        <v>34</v>
      </c>
      <c r="N60" t="s">
        <v>26</v>
      </c>
      <c r="O60" t="s">
        <v>48</v>
      </c>
      <c r="P60">
        <v>396</v>
      </c>
      <c r="Q60">
        <v>7</v>
      </c>
      <c r="R60">
        <v>65.047415094691459</v>
      </c>
      <c r="S60" t="s">
        <v>44</v>
      </c>
      <c r="T60">
        <v>1.7303747198591968</v>
      </c>
      <c r="U60" t="s">
        <v>29</v>
      </c>
      <c r="V60" t="s">
        <v>30</v>
      </c>
      <c r="W60">
        <v>110.36433523136472</v>
      </c>
    </row>
    <row r="61" spans="1:23">
      <c r="A61" t="s">
        <v>55</v>
      </c>
      <c r="B61" t="s">
        <v>111</v>
      </c>
      <c r="C61">
        <v>63.828398347710966</v>
      </c>
      <c r="D61">
        <v>30</v>
      </c>
      <c r="E61">
        <v>484</v>
      </c>
      <c r="F61">
        <v>1061.618523013288</v>
      </c>
      <c r="G61" t="s">
        <v>24</v>
      </c>
      <c r="H61">
        <v>100</v>
      </c>
      <c r="I61">
        <v>16</v>
      </c>
      <c r="J61">
        <v>26</v>
      </c>
      <c r="K61">
        <v>7</v>
      </c>
      <c r="L61" s="13">
        <v>878</v>
      </c>
      <c r="M61" t="s">
        <v>25</v>
      </c>
      <c r="N61" t="s">
        <v>37</v>
      </c>
      <c r="O61" t="s">
        <v>43</v>
      </c>
      <c r="P61">
        <v>176</v>
      </c>
      <c r="Q61">
        <v>4</v>
      </c>
      <c r="R61">
        <v>1.900762243519458</v>
      </c>
      <c r="S61" t="s">
        <v>44</v>
      </c>
      <c r="T61">
        <v>0.4471940154638232</v>
      </c>
      <c r="U61" t="s">
        <v>38</v>
      </c>
      <c r="V61" t="s">
        <v>46</v>
      </c>
      <c r="W61">
        <v>312.57427361009331</v>
      </c>
    </row>
    <row r="62" spans="1:23">
      <c r="A62" t="s">
        <v>31</v>
      </c>
      <c r="B62" t="s">
        <v>112</v>
      </c>
      <c r="C62">
        <v>17.028027920188702</v>
      </c>
      <c r="D62">
        <v>16</v>
      </c>
      <c r="E62">
        <v>380</v>
      </c>
      <c r="F62">
        <v>8864.0843495864356</v>
      </c>
      <c r="G62" t="s">
        <v>33</v>
      </c>
      <c r="H62">
        <v>41</v>
      </c>
      <c r="I62">
        <v>27</v>
      </c>
      <c r="J62">
        <v>72</v>
      </c>
      <c r="K62">
        <v>8</v>
      </c>
      <c r="L62" s="13">
        <v>1043</v>
      </c>
      <c r="M62" t="s">
        <v>41</v>
      </c>
      <c r="N62" t="s">
        <v>50</v>
      </c>
      <c r="O62" t="s">
        <v>27</v>
      </c>
      <c r="P62">
        <v>929</v>
      </c>
      <c r="Q62">
        <v>24</v>
      </c>
      <c r="R62">
        <v>87.213057815135684</v>
      </c>
      <c r="S62" t="s">
        <v>44</v>
      </c>
      <c r="T62">
        <v>2.8530906166490539</v>
      </c>
      <c r="U62" t="s">
        <v>45</v>
      </c>
      <c r="V62" t="s">
        <v>46</v>
      </c>
      <c r="W62">
        <v>430.16909697513654</v>
      </c>
    </row>
    <row r="63" spans="1:23">
      <c r="A63" t="s">
        <v>22</v>
      </c>
      <c r="B63" t="s">
        <v>113</v>
      </c>
      <c r="C63">
        <v>52.028749903294923</v>
      </c>
      <c r="D63">
        <v>23</v>
      </c>
      <c r="E63">
        <v>117</v>
      </c>
      <c r="F63">
        <v>6885.5893508962527</v>
      </c>
      <c r="G63" t="s">
        <v>36</v>
      </c>
      <c r="H63">
        <v>32</v>
      </c>
      <c r="I63">
        <v>23</v>
      </c>
      <c r="J63">
        <v>36</v>
      </c>
      <c r="K63">
        <v>7</v>
      </c>
      <c r="L63" s="13">
        <v>558</v>
      </c>
      <c r="M63" t="s">
        <v>41</v>
      </c>
      <c r="N63" t="s">
        <v>50</v>
      </c>
      <c r="O63" t="s">
        <v>43</v>
      </c>
      <c r="P63">
        <v>480</v>
      </c>
      <c r="Q63">
        <v>12</v>
      </c>
      <c r="R63">
        <v>78.702393968878894</v>
      </c>
      <c r="S63" t="s">
        <v>44</v>
      </c>
      <c r="T63">
        <v>4.3674705382050529</v>
      </c>
      <c r="U63" t="s">
        <v>38</v>
      </c>
      <c r="V63" t="s">
        <v>46</v>
      </c>
      <c r="W63">
        <v>164.36652824341942</v>
      </c>
    </row>
    <row r="64" spans="1:23">
      <c r="A64" t="s">
        <v>55</v>
      </c>
      <c r="B64" t="s">
        <v>114</v>
      </c>
      <c r="C64">
        <v>72.796353955587364</v>
      </c>
      <c r="D64">
        <v>89</v>
      </c>
      <c r="E64">
        <v>270</v>
      </c>
      <c r="F64">
        <v>3899.7468337292244</v>
      </c>
      <c r="G64" t="s">
        <v>36</v>
      </c>
      <c r="H64">
        <v>86</v>
      </c>
      <c r="I64">
        <v>2</v>
      </c>
      <c r="J64">
        <v>40</v>
      </c>
      <c r="K64">
        <v>7</v>
      </c>
      <c r="L64" s="13">
        <v>648</v>
      </c>
      <c r="M64" t="s">
        <v>41</v>
      </c>
      <c r="N64" t="s">
        <v>59</v>
      </c>
      <c r="O64" t="s">
        <v>27</v>
      </c>
      <c r="P64">
        <v>751</v>
      </c>
      <c r="Q64">
        <v>14</v>
      </c>
      <c r="R64">
        <v>21.048642725168644</v>
      </c>
      <c r="S64" t="s">
        <v>62</v>
      </c>
      <c r="T64">
        <v>1.8740014040443747</v>
      </c>
      <c r="U64" t="s">
        <v>54</v>
      </c>
      <c r="V64" t="s">
        <v>39</v>
      </c>
      <c r="W64">
        <v>320.84651575911158</v>
      </c>
    </row>
    <row r="65" spans="1:23">
      <c r="A65" t="s">
        <v>31</v>
      </c>
      <c r="B65" t="s">
        <v>115</v>
      </c>
      <c r="C65">
        <v>13.017376785287857</v>
      </c>
      <c r="D65">
        <v>55</v>
      </c>
      <c r="E65">
        <v>246</v>
      </c>
      <c r="F65">
        <v>4256.9491408502254</v>
      </c>
      <c r="G65" t="s">
        <v>24</v>
      </c>
      <c r="H65">
        <v>54</v>
      </c>
      <c r="I65">
        <v>19</v>
      </c>
      <c r="J65">
        <v>10</v>
      </c>
      <c r="K65">
        <v>4</v>
      </c>
      <c r="L65" s="13">
        <v>762</v>
      </c>
      <c r="M65" t="s">
        <v>34</v>
      </c>
      <c r="N65" t="s">
        <v>26</v>
      </c>
      <c r="O65" t="s">
        <v>51</v>
      </c>
      <c r="P65">
        <v>736</v>
      </c>
      <c r="Q65">
        <v>10</v>
      </c>
      <c r="R65">
        <v>20.075003975630484</v>
      </c>
      <c r="S65" t="s">
        <v>28</v>
      </c>
      <c r="T65">
        <v>3.6328432903821337</v>
      </c>
      <c r="U65" t="s">
        <v>54</v>
      </c>
      <c r="V65" t="s">
        <v>46</v>
      </c>
      <c r="W65">
        <v>687.28617786641735</v>
      </c>
    </row>
    <row r="66" spans="1:23">
      <c r="A66" t="s">
        <v>31</v>
      </c>
      <c r="B66" t="s">
        <v>116</v>
      </c>
      <c r="C66">
        <v>89.634095608135326</v>
      </c>
      <c r="D66">
        <v>11</v>
      </c>
      <c r="E66">
        <v>134</v>
      </c>
      <c r="F66">
        <v>8458.7308783671779</v>
      </c>
      <c r="G66" t="s">
        <v>33</v>
      </c>
      <c r="H66">
        <v>73</v>
      </c>
      <c r="I66">
        <v>27</v>
      </c>
      <c r="J66">
        <v>75</v>
      </c>
      <c r="K66">
        <v>6</v>
      </c>
      <c r="L66" s="13">
        <v>1047</v>
      </c>
      <c r="M66" t="s">
        <v>41</v>
      </c>
      <c r="N66" t="s">
        <v>37</v>
      </c>
      <c r="O66" t="s">
        <v>48</v>
      </c>
      <c r="P66">
        <v>328</v>
      </c>
      <c r="Q66">
        <v>6</v>
      </c>
      <c r="R66">
        <v>8.6930424258772874</v>
      </c>
      <c r="S66" t="s">
        <v>44</v>
      </c>
      <c r="T66">
        <v>0.15948631471751462</v>
      </c>
      <c r="U66" t="s">
        <v>38</v>
      </c>
      <c r="V66" t="s">
        <v>39</v>
      </c>
      <c r="W66">
        <v>771.22508468115745</v>
      </c>
    </row>
    <row r="67" spans="1:23">
      <c r="A67" t="s">
        <v>31</v>
      </c>
      <c r="B67" t="s">
        <v>117</v>
      </c>
      <c r="C67">
        <v>33.697717206643127</v>
      </c>
      <c r="D67">
        <v>72</v>
      </c>
      <c r="E67">
        <v>457</v>
      </c>
      <c r="F67">
        <v>8354.5796864819949</v>
      </c>
      <c r="G67" t="s">
        <v>53</v>
      </c>
      <c r="H67">
        <v>57</v>
      </c>
      <c r="I67">
        <v>24</v>
      </c>
      <c r="J67">
        <v>54</v>
      </c>
      <c r="K67">
        <v>8</v>
      </c>
      <c r="L67" s="13">
        <v>699</v>
      </c>
      <c r="M67" t="s">
        <v>41</v>
      </c>
      <c r="N67" t="s">
        <v>42</v>
      </c>
      <c r="O67" t="s">
        <v>43</v>
      </c>
      <c r="P67">
        <v>358</v>
      </c>
      <c r="Q67">
        <v>21</v>
      </c>
      <c r="R67">
        <v>1.5972227430506774</v>
      </c>
      <c r="S67" t="s">
        <v>44</v>
      </c>
      <c r="T67">
        <v>4.911095954842331</v>
      </c>
      <c r="U67" t="s">
        <v>45</v>
      </c>
      <c r="V67" t="s">
        <v>39</v>
      </c>
      <c r="W67">
        <v>555.85910367174347</v>
      </c>
    </row>
    <row r="68" spans="1:23">
      <c r="A68" t="s">
        <v>31</v>
      </c>
      <c r="B68" t="s">
        <v>118</v>
      </c>
      <c r="C68">
        <v>26.034869773962086</v>
      </c>
      <c r="D68">
        <v>52</v>
      </c>
      <c r="E68">
        <v>704</v>
      </c>
      <c r="F68">
        <v>8367.721618020154</v>
      </c>
      <c r="G68" t="s">
        <v>33</v>
      </c>
      <c r="H68">
        <v>13</v>
      </c>
      <c r="I68">
        <v>17</v>
      </c>
      <c r="J68">
        <v>19</v>
      </c>
      <c r="K68">
        <v>8</v>
      </c>
      <c r="L68" s="13">
        <v>346</v>
      </c>
      <c r="M68" t="s">
        <v>34</v>
      </c>
      <c r="N68" t="s">
        <v>42</v>
      </c>
      <c r="O68" t="s">
        <v>43</v>
      </c>
      <c r="P68">
        <v>867</v>
      </c>
      <c r="Q68">
        <v>28</v>
      </c>
      <c r="R68">
        <v>42.084436738309961</v>
      </c>
      <c r="S68" t="s">
        <v>44</v>
      </c>
      <c r="T68">
        <v>3.4480632883402618</v>
      </c>
      <c r="U68" t="s">
        <v>29</v>
      </c>
      <c r="V68" t="s">
        <v>46</v>
      </c>
      <c r="W68">
        <v>393.84334857842788</v>
      </c>
    </row>
    <row r="69" spans="1:23">
      <c r="A69" t="s">
        <v>31</v>
      </c>
      <c r="B69" t="s">
        <v>119</v>
      </c>
      <c r="C69">
        <v>87.755432354001073</v>
      </c>
      <c r="D69">
        <v>16</v>
      </c>
      <c r="E69">
        <v>513</v>
      </c>
      <c r="F69">
        <v>9473.7980325083372</v>
      </c>
      <c r="G69" t="s">
        <v>36</v>
      </c>
      <c r="H69">
        <v>12</v>
      </c>
      <c r="I69">
        <v>9</v>
      </c>
      <c r="J69">
        <v>71</v>
      </c>
      <c r="K69">
        <v>9</v>
      </c>
      <c r="L69" s="13">
        <v>467</v>
      </c>
      <c r="M69" t="s">
        <v>41</v>
      </c>
      <c r="N69" t="s">
        <v>37</v>
      </c>
      <c r="O69" t="s">
        <v>27</v>
      </c>
      <c r="P69">
        <v>198</v>
      </c>
      <c r="Q69">
        <v>11</v>
      </c>
      <c r="R69">
        <v>7.0578761469782307</v>
      </c>
      <c r="S69" t="s">
        <v>62</v>
      </c>
      <c r="T69">
        <v>0.13195544431181483</v>
      </c>
      <c r="U69" t="s">
        <v>54</v>
      </c>
      <c r="V69" t="s">
        <v>39</v>
      </c>
      <c r="W69">
        <v>169.2718013847869</v>
      </c>
    </row>
    <row r="70" spans="1:23">
      <c r="A70" t="s">
        <v>22</v>
      </c>
      <c r="B70" t="s">
        <v>120</v>
      </c>
      <c r="C70">
        <v>37.931812382790319</v>
      </c>
      <c r="D70">
        <v>29</v>
      </c>
      <c r="E70">
        <v>163</v>
      </c>
      <c r="F70">
        <v>3550.2184327809919</v>
      </c>
      <c r="G70" t="s">
        <v>24</v>
      </c>
      <c r="H70">
        <v>0</v>
      </c>
      <c r="I70">
        <v>8</v>
      </c>
      <c r="J70">
        <v>58</v>
      </c>
      <c r="K70">
        <v>8</v>
      </c>
      <c r="L70" s="13">
        <v>990</v>
      </c>
      <c r="M70" t="s">
        <v>25</v>
      </c>
      <c r="N70" t="s">
        <v>59</v>
      </c>
      <c r="O70" t="s">
        <v>51</v>
      </c>
      <c r="P70">
        <v>375</v>
      </c>
      <c r="Q70">
        <v>18</v>
      </c>
      <c r="R70">
        <v>97.113581563462205</v>
      </c>
      <c r="S70" t="s">
        <v>44</v>
      </c>
      <c r="T70">
        <v>1.9834678721741801</v>
      </c>
      <c r="U70" t="s">
        <v>45</v>
      </c>
      <c r="V70" t="s">
        <v>46</v>
      </c>
      <c r="W70">
        <v>299.70630311810316</v>
      </c>
    </row>
    <row r="71" spans="1:23">
      <c r="A71" t="s">
        <v>31</v>
      </c>
      <c r="B71" t="s">
        <v>121</v>
      </c>
      <c r="C71">
        <v>54.865528517069791</v>
      </c>
      <c r="D71">
        <v>62</v>
      </c>
      <c r="E71">
        <v>511</v>
      </c>
      <c r="F71">
        <v>1752.3810874841247</v>
      </c>
      <c r="G71" t="s">
        <v>24</v>
      </c>
      <c r="H71">
        <v>95</v>
      </c>
      <c r="I71">
        <v>1</v>
      </c>
      <c r="J71">
        <v>27</v>
      </c>
      <c r="K71">
        <v>3</v>
      </c>
      <c r="L71" s="13">
        <v>944</v>
      </c>
      <c r="M71" t="s">
        <v>25</v>
      </c>
      <c r="N71" t="s">
        <v>50</v>
      </c>
      <c r="O71" t="s">
        <v>43</v>
      </c>
      <c r="P71">
        <v>862</v>
      </c>
      <c r="Q71">
        <v>7</v>
      </c>
      <c r="R71">
        <v>77.627765812748166</v>
      </c>
      <c r="S71" t="s">
        <v>28</v>
      </c>
      <c r="T71">
        <v>1.3623879886491086</v>
      </c>
      <c r="U71" t="s">
        <v>38</v>
      </c>
      <c r="V71" t="s">
        <v>46</v>
      </c>
      <c r="W71">
        <v>207.66320620857562</v>
      </c>
    </row>
    <row r="72" spans="1:23">
      <c r="A72" t="s">
        <v>22</v>
      </c>
      <c r="B72" t="s">
        <v>122</v>
      </c>
      <c r="C72">
        <v>47.914541824058766</v>
      </c>
      <c r="D72">
        <v>90</v>
      </c>
      <c r="E72">
        <v>32</v>
      </c>
      <c r="F72">
        <v>7014.8879872033885</v>
      </c>
      <c r="G72" t="s">
        <v>33</v>
      </c>
      <c r="H72">
        <v>10</v>
      </c>
      <c r="I72">
        <v>12</v>
      </c>
      <c r="J72">
        <v>22</v>
      </c>
      <c r="K72">
        <v>4</v>
      </c>
      <c r="L72" s="13">
        <v>600</v>
      </c>
      <c r="M72" t="s">
        <v>25</v>
      </c>
      <c r="N72" t="s">
        <v>37</v>
      </c>
      <c r="O72" t="s">
        <v>51</v>
      </c>
      <c r="P72">
        <v>775</v>
      </c>
      <c r="Q72">
        <v>16</v>
      </c>
      <c r="R72">
        <v>11.440781823761265</v>
      </c>
      <c r="S72" t="s">
        <v>62</v>
      </c>
      <c r="T72">
        <v>1.8305755986122314</v>
      </c>
      <c r="U72" t="s">
        <v>29</v>
      </c>
      <c r="V72" t="s">
        <v>39</v>
      </c>
      <c r="W72">
        <v>183.27289874871101</v>
      </c>
    </row>
    <row r="73" spans="1:23">
      <c r="A73" t="s">
        <v>55</v>
      </c>
      <c r="B73" t="s">
        <v>123</v>
      </c>
      <c r="C73">
        <v>6.3815331627479663</v>
      </c>
      <c r="D73">
        <v>14</v>
      </c>
      <c r="E73">
        <v>637</v>
      </c>
      <c r="F73">
        <v>8180.3370854254426</v>
      </c>
      <c r="G73" t="s">
        <v>33</v>
      </c>
      <c r="H73">
        <v>76</v>
      </c>
      <c r="I73">
        <v>2</v>
      </c>
      <c r="J73">
        <v>26</v>
      </c>
      <c r="K73">
        <v>6</v>
      </c>
      <c r="L73" s="13">
        <v>898</v>
      </c>
      <c r="M73" t="s">
        <v>34</v>
      </c>
      <c r="N73" t="s">
        <v>59</v>
      </c>
      <c r="O73" t="s">
        <v>51</v>
      </c>
      <c r="P73">
        <v>258</v>
      </c>
      <c r="Q73">
        <v>10</v>
      </c>
      <c r="R73">
        <v>30.661677477859556</v>
      </c>
      <c r="S73" t="s">
        <v>28</v>
      </c>
      <c r="T73">
        <v>2.0787506078749689</v>
      </c>
      <c r="U73" t="s">
        <v>29</v>
      </c>
      <c r="V73" t="s">
        <v>46</v>
      </c>
      <c r="W73">
        <v>405.16706788885585</v>
      </c>
    </row>
    <row r="74" spans="1:23">
      <c r="A74" t="s">
        <v>55</v>
      </c>
      <c r="B74" t="s">
        <v>124</v>
      </c>
      <c r="C74">
        <v>90.204427520528071</v>
      </c>
      <c r="D74">
        <v>88</v>
      </c>
      <c r="E74">
        <v>478</v>
      </c>
      <c r="F74">
        <v>2633.1219813122557</v>
      </c>
      <c r="G74" t="s">
        <v>24</v>
      </c>
      <c r="H74">
        <v>57</v>
      </c>
      <c r="I74">
        <v>29</v>
      </c>
      <c r="J74">
        <v>77</v>
      </c>
      <c r="K74">
        <v>9</v>
      </c>
      <c r="L74" s="13">
        <v>122</v>
      </c>
      <c r="M74" t="s">
        <v>34</v>
      </c>
      <c r="N74" t="s">
        <v>37</v>
      </c>
      <c r="O74" t="s">
        <v>51</v>
      </c>
      <c r="P74">
        <v>152</v>
      </c>
      <c r="Q74">
        <v>11</v>
      </c>
      <c r="R74">
        <v>55.760492895244212</v>
      </c>
      <c r="S74" t="s">
        <v>28</v>
      </c>
      <c r="T74">
        <v>3.2133296074383089</v>
      </c>
      <c r="U74" t="s">
        <v>45</v>
      </c>
      <c r="V74" t="s">
        <v>30</v>
      </c>
      <c r="W74">
        <v>677.9445698461833</v>
      </c>
    </row>
    <row r="75" spans="1:23">
      <c r="A75" t="s">
        <v>55</v>
      </c>
      <c r="B75" t="s">
        <v>125</v>
      </c>
      <c r="C75">
        <v>83.851017681304597</v>
      </c>
      <c r="D75">
        <v>41</v>
      </c>
      <c r="E75">
        <v>375</v>
      </c>
      <c r="F75">
        <v>7910.8869161406856</v>
      </c>
      <c r="G75" t="s">
        <v>53</v>
      </c>
      <c r="H75">
        <v>17</v>
      </c>
      <c r="I75">
        <v>25</v>
      </c>
      <c r="J75">
        <v>66</v>
      </c>
      <c r="K75">
        <v>5</v>
      </c>
      <c r="L75" s="13">
        <v>222</v>
      </c>
      <c r="M75" t="s">
        <v>25</v>
      </c>
      <c r="N75" t="s">
        <v>50</v>
      </c>
      <c r="O75" t="s">
        <v>60</v>
      </c>
      <c r="P75">
        <v>444</v>
      </c>
      <c r="Q75">
        <v>4</v>
      </c>
      <c r="R75">
        <v>46.870238797617155</v>
      </c>
      <c r="S75" t="s">
        <v>44</v>
      </c>
      <c r="T75">
        <v>4.6205460645137064</v>
      </c>
      <c r="U75" t="s">
        <v>29</v>
      </c>
      <c r="V75" t="s">
        <v>46</v>
      </c>
      <c r="W75">
        <v>866.4728001296578</v>
      </c>
    </row>
    <row r="76" spans="1:23">
      <c r="A76" t="s">
        <v>22</v>
      </c>
      <c r="B76" t="s">
        <v>126</v>
      </c>
      <c r="C76">
        <v>3.1700114135661548</v>
      </c>
      <c r="D76">
        <v>64</v>
      </c>
      <c r="E76">
        <v>904</v>
      </c>
      <c r="F76">
        <v>5709.9452959692871</v>
      </c>
      <c r="G76" t="s">
        <v>33</v>
      </c>
      <c r="H76">
        <v>41</v>
      </c>
      <c r="I76">
        <v>6</v>
      </c>
      <c r="J76">
        <v>1</v>
      </c>
      <c r="K76">
        <v>5</v>
      </c>
      <c r="L76" s="13">
        <v>738</v>
      </c>
      <c r="M76" t="s">
        <v>34</v>
      </c>
      <c r="N76" t="s">
        <v>50</v>
      </c>
      <c r="O76" t="s">
        <v>48</v>
      </c>
      <c r="P76">
        <v>919</v>
      </c>
      <c r="Q76">
        <v>9</v>
      </c>
      <c r="R76">
        <v>80.580852156447818</v>
      </c>
      <c r="S76" t="s">
        <v>44</v>
      </c>
      <c r="T76">
        <v>0.39661272410993542</v>
      </c>
      <c r="U76" t="s">
        <v>45</v>
      </c>
      <c r="V76" t="s">
        <v>46</v>
      </c>
      <c r="W76">
        <v>341.55265678322337</v>
      </c>
    </row>
    <row r="77" spans="1:23">
      <c r="A77" t="s">
        <v>31</v>
      </c>
      <c r="B77" t="s">
        <v>127</v>
      </c>
      <c r="C77">
        <v>92.996884233970661</v>
      </c>
      <c r="D77">
        <v>29</v>
      </c>
      <c r="E77">
        <v>106</v>
      </c>
      <c r="F77">
        <v>1889.073589779335</v>
      </c>
      <c r="G77" t="s">
        <v>24</v>
      </c>
      <c r="H77">
        <v>16</v>
      </c>
      <c r="I77">
        <v>20</v>
      </c>
      <c r="J77">
        <v>56</v>
      </c>
      <c r="K77">
        <v>10</v>
      </c>
      <c r="L77" s="13">
        <v>876</v>
      </c>
      <c r="M77" t="s">
        <v>41</v>
      </c>
      <c r="N77" t="s">
        <v>37</v>
      </c>
      <c r="O77" t="s">
        <v>60</v>
      </c>
      <c r="P77">
        <v>759</v>
      </c>
      <c r="Q77">
        <v>11</v>
      </c>
      <c r="R77">
        <v>48.064782640006591</v>
      </c>
      <c r="S77" t="s">
        <v>62</v>
      </c>
      <c r="T77">
        <v>2.0300690886687516</v>
      </c>
      <c r="U77" t="s">
        <v>38</v>
      </c>
      <c r="V77" t="s">
        <v>39</v>
      </c>
      <c r="W77">
        <v>873.12964801765145</v>
      </c>
    </row>
    <row r="78" spans="1:23">
      <c r="A78" t="s">
        <v>22</v>
      </c>
      <c r="B78" t="s">
        <v>128</v>
      </c>
      <c r="C78">
        <v>69.108799547430323</v>
      </c>
      <c r="D78">
        <v>23</v>
      </c>
      <c r="E78">
        <v>241</v>
      </c>
      <c r="F78">
        <v>5328.3759842977579</v>
      </c>
      <c r="G78" t="s">
        <v>53</v>
      </c>
      <c r="H78">
        <v>38</v>
      </c>
      <c r="I78">
        <v>1</v>
      </c>
      <c r="J78">
        <v>22</v>
      </c>
      <c r="K78">
        <v>10</v>
      </c>
      <c r="L78" s="13">
        <v>155</v>
      </c>
      <c r="M78" t="s">
        <v>34</v>
      </c>
      <c r="N78" t="s">
        <v>59</v>
      </c>
      <c r="O78" t="s">
        <v>51</v>
      </c>
      <c r="P78">
        <v>985</v>
      </c>
      <c r="Q78">
        <v>24</v>
      </c>
      <c r="R78">
        <v>64.323597795600222</v>
      </c>
      <c r="S78" t="s">
        <v>28</v>
      </c>
      <c r="T78">
        <v>2.1800374515822165</v>
      </c>
      <c r="U78" t="s">
        <v>45</v>
      </c>
      <c r="V78" t="s">
        <v>46</v>
      </c>
      <c r="W78">
        <v>997.4134501331946</v>
      </c>
    </row>
    <row r="79" spans="1:23">
      <c r="A79" t="s">
        <v>22</v>
      </c>
      <c r="B79" t="s">
        <v>129</v>
      </c>
      <c r="C79">
        <v>57.449742958971477</v>
      </c>
      <c r="D79">
        <v>14</v>
      </c>
      <c r="E79">
        <v>359</v>
      </c>
      <c r="F79">
        <v>2483.7601775427947</v>
      </c>
      <c r="G79" t="s">
        <v>36</v>
      </c>
      <c r="H79">
        <v>96</v>
      </c>
      <c r="I79">
        <v>28</v>
      </c>
      <c r="J79">
        <v>57</v>
      </c>
      <c r="K79">
        <v>4</v>
      </c>
      <c r="L79" s="13">
        <v>526</v>
      </c>
      <c r="M79" t="s">
        <v>25</v>
      </c>
      <c r="N79" t="s">
        <v>37</v>
      </c>
      <c r="O79" t="s">
        <v>43</v>
      </c>
      <c r="P79">
        <v>334</v>
      </c>
      <c r="Q79">
        <v>5</v>
      </c>
      <c r="R79">
        <v>42.952444748991837</v>
      </c>
      <c r="S79" t="s">
        <v>62</v>
      </c>
      <c r="T79">
        <v>3.0551418183075478</v>
      </c>
      <c r="U79" t="s">
        <v>29</v>
      </c>
      <c r="V79" t="s">
        <v>30</v>
      </c>
      <c r="W79">
        <v>852.56809891984994</v>
      </c>
    </row>
    <row r="80" spans="1:23">
      <c r="A80" t="s">
        <v>22</v>
      </c>
      <c r="B80" t="s">
        <v>130</v>
      </c>
      <c r="C80">
        <v>6.3068831761119153</v>
      </c>
      <c r="D80">
        <v>50</v>
      </c>
      <c r="E80">
        <v>946</v>
      </c>
      <c r="F80">
        <v>1292.4584179377562</v>
      </c>
      <c r="G80" t="s">
        <v>36</v>
      </c>
      <c r="H80">
        <v>5</v>
      </c>
      <c r="I80">
        <v>4</v>
      </c>
      <c r="J80">
        <v>51</v>
      </c>
      <c r="K80">
        <v>5</v>
      </c>
      <c r="L80" s="13">
        <v>511</v>
      </c>
      <c r="M80" t="s">
        <v>25</v>
      </c>
      <c r="N80" t="s">
        <v>42</v>
      </c>
      <c r="O80" t="s">
        <v>27</v>
      </c>
      <c r="P80">
        <v>858</v>
      </c>
      <c r="Q80">
        <v>21</v>
      </c>
      <c r="R80">
        <v>71.126514720403378</v>
      </c>
      <c r="S80" t="s">
        <v>28</v>
      </c>
      <c r="T80">
        <v>4.0968813324704518</v>
      </c>
      <c r="U80" t="s">
        <v>54</v>
      </c>
      <c r="V80" t="s">
        <v>39</v>
      </c>
      <c r="W80">
        <v>323.59220343132216</v>
      </c>
    </row>
    <row r="81" spans="1:23">
      <c r="A81" t="s">
        <v>22</v>
      </c>
      <c r="B81" t="s">
        <v>131</v>
      </c>
      <c r="C81">
        <v>57.057031221103223</v>
      </c>
      <c r="D81">
        <v>56</v>
      </c>
      <c r="E81">
        <v>198</v>
      </c>
      <c r="F81">
        <v>7888.7232684270812</v>
      </c>
      <c r="G81" t="s">
        <v>24</v>
      </c>
      <c r="H81">
        <v>31</v>
      </c>
      <c r="I81">
        <v>25</v>
      </c>
      <c r="J81">
        <v>20</v>
      </c>
      <c r="K81">
        <v>1</v>
      </c>
      <c r="L81" s="13">
        <v>1160</v>
      </c>
      <c r="M81" t="s">
        <v>25</v>
      </c>
      <c r="N81" t="s">
        <v>26</v>
      </c>
      <c r="O81" t="s">
        <v>51</v>
      </c>
      <c r="P81">
        <v>228</v>
      </c>
      <c r="Q81">
        <v>12</v>
      </c>
      <c r="R81">
        <v>57.87090292403628</v>
      </c>
      <c r="S81" t="s">
        <v>28</v>
      </c>
      <c r="T81">
        <v>0.16587162748060824</v>
      </c>
      <c r="U81" t="s">
        <v>38</v>
      </c>
      <c r="V81" t="s">
        <v>39</v>
      </c>
      <c r="W81">
        <v>351.50421933503867</v>
      </c>
    </row>
    <row r="82" spans="1:23">
      <c r="A82" t="s">
        <v>31</v>
      </c>
      <c r="B82" t="s">
        <v>132</v>
      </c>
      <c r="C82">
        <v>91.128318350444331</v>
      </c>
      <c r="D82">
        <v>75</v>
      </c>
      <c r="E82">
        <v>872</v>
      </c>
      <c r="F82">
        <v>8651.6726829820655</v>
      </c>
      <c r="G82" t="s">
        <v>36</v>
      </c>
      <c r="H82">
        <v>39</v>
      </c>
      <c r="I82">
        <v>14</v>
      </c>
      <c r="J82">
        <v>41</v>
      </c>
      <c r="K82">
        <v>2</v>
      </c>
      <c r="L82" s="13">
        <v>862</v>
      </c>
      <c r="M82" t="s">
        <v>41</v>
      </c>
      <c r="N82" t="s">
        <v>26</v>
      </c>
      <c r="O82" t="s">
        <v>60</v>
      </c>
      <c r="P82">
        <v>202</v>
      </c>
      <c r="Q82">
        <v>5</v>
      </c>
      <c r="R82">
        <v>76.961228023820013</v>
      </c>
      <c r="S82" t="s">
        <v>44</v>
      </c>
      <c r="T82">
        <v>2.8496621985053308</v>
      </c>
      <c r="U82" t="s">
        <v>54</v>
      </c>
      <c r="V82" t="s">
        <v>30</v>
      </c>
      <c r="W82">
        <v>787.77985049434449</v>
      </c>
    </row>
    <row r="83" spans="1:23">
      <c r="A83" t="s">
        <v>22</v>
      </c>
      <c r="B83" t="s">
        <v>133</v>
      </c>
      <c r="C83">
        <v>72.819206930318217</v>
      </c>
      <c r="D83">
        <v>9</v>
      </c>
      <c r="E83">
        <v>774</v>
      </c>
      <c r="F83">
        <v>4384.4134000458625</v>
      </c>
      <c r="G83" t="s">
        <v>36</v>
      </c>
      <c r="H83">
        <v>48</v>
      </c>
      <c r="I83">
        <v>6</v>
      </c>
      <c r="J83">
        <v>8</v>
      </c>
      <c r="K83">
        <v>5</v>
      </c>
      <c r="L83" s="13">
        <v>147</v>
      </c>
      <c r="M83" t="s">
        <v>25</v>
      </c>
      <c r="N83" t="s">
        <v>26</v>
      </c>
      <c r="O83" t="s">
        <v>48</v>
      </c>
      <c r="P83">
        <v>698</v>
      </c>
      <c r="Q83">
        <v>1</v>
      </c>
      <c r="R83">
        <v>19.789592941903603</v>
      </c>
      <c r="S83" t="s">
        <v>28</v>
      </c>
      <c r="T83">
        <v>2.5475471215487118</v>
      </c>
      <c r="U83" t="s">
        <v>45</v>
      </c>
      <c r="V83" t="s">
        <v>30</v>
      </c>
      <c r="W83">
        <v>276.77833594679885</v>
      </c>
    </row>
    <row r="84" spans="1:23">
      <c r="A84" t="s">
        <v>31</v>
      </c>
      <c r="B84" t="s">
        <v>134</v>
      </c>
      <c r="C84">
        <v>17.034930739467917</v>
      </c>
      <c r="D84">
        <v>13</v>
      </c>
      <c r="E84">
        <v>336</v>
      </c>
      <c r="F84">
        <v>2943.3818676094515</v>
      </c>
      <c r="G84" t="s">
        <v>36</v>
      </c>
      <c r="H84">
        <v>42</v>
      </c>
      <c r="I84">
        <v>19</v>
      </c>
      <c r="J84">
        <v>72</v>
      </c>
      <c r="K84">
        <v>1</v>
      </c>
      <c r="L84" s="13">
        <v>868</v>
      </c>
      <c r="M84" t="s">
        <v>34</v>
      </c>
      <c r="N84" t="s">
        <v>59</v>
      </c>
      <c r="O84" t="s">
        <v>27</v>
      </c>
      <c r="P84">
        <v>955</v>
      </c>
      <c r="Q84">
        <v>26</v>
      </c>
      <c r="R84">
        <v>4.4652784349432402</v>
      </c>
      <c r="S84" t="s">
        <v>28</v>
      </c>
      <c r="T84">
        <v>4.1378770486223573</v>
      </c>
      <c r="U84" t="s">
        <v>29</v>
      </c>
      <c r="V84" t="s">
        <v>39</v>
      </c>
      <c r="W84">
        <v>589.97855562804068</v>
      </c>
    </row>
    <row r="85" spans="1:23">
      <c r="A85" t="s">
        <v>22</v>
      </c>
      <c r="B85" t="s">
        <v>135</v>
      </c>
      <c r="C85">
        <v>68.911246211606326</v>
      </c>
      <c r="D85">
        <v>82</v>
      </c>
      <c r="E85">
        <v>663</v>
      </c>
      <c r="F85">
        <v>2411.754632110491</v>
      </c>
      <c r="G85" t="s">
        <v>36</v>
      </c>
      <c r="H85">
        <v>65</v>
      </c>
      <c r="I85">
        <v>24</v>
      </c>
      <c r="J85">
        <v>7</v>
      </c>
      <c r="K85">
        <v>8</v>
      </c>
      <c r="L85" s="13">
        <v>332</v>
      </c>
      <c r="M85" t="s">
        <v>25</v>
      </c>
      <c r="N85" t="s">
        <v>37</v>
      </c>
      <c r="O85" t="s">
        <v>51</v>
      </c>
      <c r="P85">
        <v>443</v>
      </c>
      <c r="Q85">
        <v>5</v>
      </c>
      <c r="R85">
        <v>97.730593800533043</v>
      </c>
      <c r="S85" t="s">
        <v>44</v>
      </c>
      <c r="T85">
        <v>0.77300613406724783</v>
      </c>
      <c r="U85" t="s">
        <v>29</v>
      </c>
      <c r="V85" t="s">
        <v>46</v>
      </c>
      <c r="W85">
        <v>682.97101822609329</v>
      </c>
    </row>
    <row r="86" spans="1:23">
      <c r="A86" t="s">
        <v>22</v>
      </c>
      <c r="B86" t="s">
        <v>136</v>
      </c>
      <c r="C86">
        <v>89.104367292102253</v>
      </c>
      <c r="D86">
        <v>99</v>
      </c>
      <c r="E86">
        <v>618</v>
      </c>
      <c r="F86">
        <v>2048.2900998487103</v>
      </c>
      <c r="G86" t="s">
        <v>36</v>
      </c>
      <c r="H86">
        <v>73</v>
      </c>
      <c r="I86">
        <v>26</v>
      </c>
      <c r="J86">
        <v>80</v>
      </c>
      <c r="K86">
        <v>10</v>
      </c>
      <c r="L86" s="13">
        <v>1191</v>
      </c>
      <c r="M86" t="s">
        <v>34</v>
      </c>
      <c r="N86" t="s">
        <v>42</v>
      </c>
      <c r="O86" t="s">
        <v>60</v>
      </c>
      <c r="P86">
        <v>589</v>
      </c>
      <c r="Q86">
        <v>22</v>
      </c>
      <c r="R86">
        <v>33.808636513209095</v>
      </c>
      <c r="S86" t="s">
        <v>62</v>
      </c>
      <c r="T86">
        <v>4.8434565771180411</v>
      </c>
      <c r="U86" t="s">
        <v>38</v>
      </c>
      <c r="V86" t="s">
        <v>30</v>
      </c>
      <c r="W86">
        <v>465.45700596368795</v>
      </c>
    </row>
    <row r="87" spans="1:23">
      <c r="A87" t="s">
        <v>55</v>
      </c>
      <c r="B87" t="s">
        <v>137</v>
      </c>
      <c r="C87">
        <v>76.962994415193876</v>
      </c>
      <c r="D87">
        <v>83</v>
      </c>
      <c r="E87">
        <v>25</v>
      </c>
      <c r="F87">
        <v>8684.6130592538575</v>
      </c>
      <c r="G87" t="s">
        <v>33</v>
      </c>
      <c r="H87">
        <v>15</v>
      </c>
      <c r="I87">
        <v>18</v>
      </c>
      <c r="J87">
        <v>66</v>
      </c>
      <c r="K87">
        <v>2</v>
      </c>
      <c r="L87" s="13">
        <v>352</v>
      </c>
      <c r="M87" t="s">
        <v>41</v>
      </c>
      <c r="N87" t="s">
        <v>42</v>
      </c>
      <c r="O87" t="s">
        <v>60</v>
      </c>
      <c r="P87">
        <v>211</v>
      </c>
      <c r="Q87">
        <v>2</v>
      </c>
      <c r="R87">
        <v>69.929345518672307</v>
      </c>
      <c r="S87" t="s">
        <v>44</v>
      </c>
      <c r="T87">
        <v>1.3744289997457582</v>
      </c>
      <c r="U87" t="s">
        <v>29</v>
      </c>
      <c r="V87" t="s">
        <v>30</v>
      </c>
      <c r="W87">
        <v>842.68683000464148</v>
      </c>
    </row>
    <row r="88" spans="1:23">
      <c r="A88" t="s">
        <v>31</v>
      </c>
      <c r="B88" t="s">
        <v>138</v>
      </c>
      <c r="C88">
        <v>19.998176940404221</v>
      </c>
      <c r="D88">
        <v>18</v>
      </c>
      <c r="E88">
        <v>223</v>
      </c>
      <c r="F88">
        <v>1229.5910285649834</v>
      </c>
      <c r="G88" t="s">
        <v>36</v>
      </c>
      <c r="H88">
        <v>32</v>
      </c>
      <c r="I88">
        <v>14</v>
      </c>
      <c r="J88">
        <v>22</v>
      </c>
      <c r="K88">
        <v>6</v>
      </c>
      <c r="L88" s="13">
        <v>821</v>
      </c>
      <c r="M88" t="s">
        <v>25</v>
      </c>
      <c r="N88" t="s">
        <v>37</v>
      </c>
      <c r="O88" t="s">
        <v>27</v>
      </c>
      <c r="P88">
        <v>569</v>
      </c>
      <c r="Q88">
        <v>18</v>
      </c>
      <c r="R88">
        <v>74.608969995194684</v>
      </c>
      <c r="S88" t="s">
        <v>62</v>
      </c>
      <c r="T88">
        <v>2.0515129307662465</v>
      </c>
      <c r="U88" t="s">
        <v>45</v>
      </c>
      <c r="V88" t="s">
        <v>46</v>
      </c>
      <c r="W88">
        <v>264.25488983586649</v>
      </c>
    </row>
    <row r="89" spans="1:23">
      <c r="A89" t="s">
        <v>22</v>
      </c>
      <c r="B89" t="s">
        <v>139</v>
      </c>
      <c r="C89">
        <v>80.41403665035574</v>
      </c>
      <c r="D89">
        <v>24</v>
      </c>
      <c r="E89">
        <v>79</v>
      </c>
      <c r="F89">
        <v>5133.8467010866916</v>
      </c>
      <c r="G89" t="s">
        <v>53</v>
      </c>
      <c r="H89">
        <v>5</v>
      </c>
      <c r="I89">
        <v>7</v>
      </c>
      <c r="J89">
        <v>55</v>
      </c>
      <c r="K89">
        <v>10</v>
      </c>
      <c r="L89" s="13">
        <v>1030</v>
      </c>
      <c r="M89" t="s">
        <v>34</v>
      </c>
      <c r="N89" t="s">
        <v>26</v>
      </c>
      <c r="O89" t="s">
        <v>60</v>
      </c>
      <c r="P89">
        <v>523</v>
      </c>
      <c r="Q89">
        <v>17</v>
      </c>
      <c r="R89">
        <v>28.69699682414317</v>
      </c>
      <c r="S89" t="s">
        <v>44</v>
      </c>
      <c r="T89">
        <v>3.6937377878392756</v>
      </c>
      <c r="U89" t="s">
        <v>54</v>
      </c>
      <c r="V89" t="s">
        <v>30</v>
      </c>
      <c r="W89">
        <v>879.3592177349243</v>
      </c>
    </row>
    <row r="90" spans="1:23">
      <c r="A90" t="s">
        <v>55</v>
      </c>
      <c r="B90" t="s">
        <v>140</v>
      </c>
      <c r="C90">
        <v>75.27040697572501</v>
      </c>
      <c r="D90">
        <v>58</v>
      </c>
      <c r="E90">
        <v>737</v>
      </c>
      <c r="F90">
        <v>9444.7420330629793</v>
      </c>
      <c r="G90" t="s">
        <v>53</v>
      </c>
      <c r="H90">
        <v>60</v>
      </c>
      <c r="I90">
        <v>18</v>
      </c>
      <c r="J90">
        <v>85</v>
      </c>
      <c r="K90">
        <v>7</v>
      </c>
      <c r="L90" s="13">
        <v>849</v>
      </c>
      <c r="M90" t="s">
        <v>34</v>
      </c>
      <c r="N90" t="s">
        <v>59</v>
      </c>
      <c r="O90" t="s">
        <v>27</v>
      </c>
      <c r="P90">
        <v>953</v>
      </c>
      <c r="Q90">
        <v>11</v>
      </c>
      <c r="R90">
        <v>68.184919057041171</v>
      </c>
      <c r="S90" t="s">
        <v>28</v>
      </c>
      <c r="T90">
        <v>0.722204401882931</v>
      </c>
      <c r="U90" t="s">
        <v>54</v>
      </c>
      <c r="V90" t="s">
        <v>46</v>
      </c>
      <c r="W90">
        <v>103.91624796070495</v>
      </c>
    </row>
    <row r="91" spans="1:23">
      <c r="A91" t="s">
        <v>55</v>
      </c>
      <c r="B91" t="s">
        <v>141</v>
      </c>
      <c r="C91">
        <v>97.760085581938668</v>
      </c>
      <c r="D91">
        <v>10</v>
      </c>
      <c r="E91">
        <v>134</v>
      </c>
      <c r="F91">
        <v>5924.682566853231</v>
      </c>
      <c r="G91" t="s">
        <v>36</v>
      </c>
      <c r="H91">
        <v>90</v>
      </c>
      <c r="I91">
        <v>1</v>
      </c>
      <c r="J91">
        <v>27</v>
      </c>
      <c r="K91">
        <v>8</v>
      </c>
      <c r="L91" s="13">
        <v>1126</v>
      </c>
      <c r="M91" t="s">
        <v>25</v>
      </c>
      <c r="N91" t="s">
        <v>37</v>
      </c>
      <c r="O91" t="s">
        <v>43</v>
      </c>
      <c r="P91">
        <v>370</v>
      </c>
      <c r="Q91">
        <v>11</v>
      </c>
      <c r="R91">
        <v>46.603873381644469</v>
      </c>
      <c r="S91" t="s">
        <v>28</v>
      </c>
      <c r="T91">
        <v>1.9076657339590746</v>
      </c>
      <c r="U91" t="s">
        <v>45</v>
      </c>
      <c r="V91" t="s">
        <v>30</v>
      </c>
      <c r="W91">
        <v>517.4999739290605</v>
      </c>
    </row>
    <row r="92" spans="1:23">
      <c r="A92" t="s">
        <v>31</v>
      </c>
      <c r="B92" t="s">
        <v>142</v>
      </c>
      <c r="C92">
        <v>13.881913501359142</v>
      </c>
      <c r="D92">
        <v>56</v>
      </c>
      <c r="E92">
        <v>320</v>
      </c>
      <c r="F92">
        <v>9592.6335702803117</v>
      </c>
      <c r="G92" t="s">
        <v>24</v>
      </c>
      <c r="H92">
        <v>66</v>
      </c>
      <c r="I92">
        <v>18</v>
      </c>
      <c r="J92">
        <v>96</v>
      </c>
      <c r="K92">
        <v>7</v>
      </c>
      <c r="L92" s="13">
        <v>176</v>
      </c>
      <c r="M92" t="s">
        <v>25</v>
      </c>
      <c r="N92" t="s">
        <v>26</v>
      </c>
      <c r="O92" t="s">
        <v>51</v>
      </c>
      <c r="P92">
        <v>585</v>
      </c>
      <c r="Q92">
        <v>8</v>
      </c>
      <c r="R92">
        <v>85.675963335797974</v>
      </c>
      <c r="S92" t="s">
        <v>62</v>
      </c>
      <c r="T92">
        <v>1.2193822244013885</v>
      </c>
      <c r="U92" t="s">
        <v>45</v>
      </c>
      <c r="V92" t="s">
        <v>30</v>
      </c>
      <c r="W92">
        <v>990.07847250581119</v>
      </c>
    </row>
    <row r="93" spans="1:23">
      <c r="A93" t="s">
        <v>55</v>
      </c>
      <c r="B93" t="s">
        <v>143</v>
      </c>
      <c r="C93">
        <v>62.111965463961788</v>
      </c>
      <c r="D93">
        <v>90</v>
      </c>
      <c r="E93">
        <v>916</v>
      </c>
      <c r="F93">
        <v>1935.2067935075991</v>
      </c>
      <c r="G93" t="s">
        <v>53</v>
      </c>
      <c r="H93">
        <v>98</v>
      </c>
      <c r="I93">
        <v>22</v>
      </c>
      <c r="J93">
        <v>85</v>
      </c>
      <c r="K93">
        <v>7</v>
      </c>
      <c r="L93" s="13">
        <v>553</v>
      </c>
      <c r="M93" t="s">
        <v>25</v>
      </c>
      <c r="N93" t="s">
        <v>50</v>
      </c>
      <c r="O93" t="s">
        <v>48</v>
      </c>
      <c r="P93">
        <v>207</v>
      </c>
      <c r="Q93">
        <v>28</v>
      </c>
      <c r="R93">
        <v>39.772882502339975</v>
      </c>
      <c r="S93" t="s">
        <v>28</v>
      </c>
      <c r="T93">
        <v>0.62600185820939458</v>
      </c>
      <c r="U93" t="s">
        <v>45</v>
      </c>
      <c r="V93" t="s">
        <v>30</v>
      </c>
      <c r="W93">
        <v>996.77831495062378</v>
      </c>
    </row>
    <row r="94" spans="1:23">
      <c r="A94" t="s">
        <v>55</v>
      </c>
      <c r="B94" t="s">
        <v>144</v>
      </c>
      <c r="C94">
        <v>47.714233075820232</v>
      </c>
      <c r="D94">
        <v>44</v>
      </c>
      <c r="E94">
        <v>276</v>
      </c>
      <c r="F94">
        <v>2100.1297546259366</v>
      </c>
      <c r="G94" t="s">
        <v>53</v>
      </c>
      <c r="H94">
        <v>90</v>
      </c>
      <c r="I94">
        <v>25</v>
      </c>
      <c r="J94">
        <v>10</v>
      </c>
      <c r="K94">
        <v>8</v>
      </c>
      <c r="L94" s="13">
        <v>535</v>
      </c>
      <c r="M94" t="s">
        <v>25</v>
      </c>
      <c r="N94" t="s">
        <v>59</v>
      </c>
      <c r="O94" t="s">
        <v>27</v>
      </c>
      <c r="P94">
        <v>671</v>
      </c>
      <c r="Q94">
        <v>29</v>
      </c>
      <c r="R94">
        <v>62.612690395614344</v>
      </c>
      <c r="S94" t="s">
        <v>62</v>
      </c>
      <c r="T94">
        <v>0.33343182522473924</v>
      </c>
      <c r="U94" t="s">
        <v>45</v>
      </c>
      <c r="V94" t="s">
        <v>30</v>
      </c>
      <c r="W94">
        <v>230.09278253676294</v>
      </c>
    </row>
    <row r="95" spans="1:23">
      <c r="A95" t="s">
        <v>22</v>
      </c>
      <c r="B95" t="s">
        <v>145</v>
      </c>
      <c r="C95">
        <v>69.290831002905492</v>
      </c>
      <c r="D95">
        <v>88</v>
      </c>
      <c r="E95">
        <v>114</v>
      </c>
      <c r="F95">
        <v>4531.4021336919095</v>
      </c>
      <c r="G95" t="s">
        <v>36</v>
      </c>
      <c r="H95">
        <v>63</v>
      </c>
      <c r="I95">
        <v>17</v>
      </c>
      <c r="J95">
        <v>66</v>
      </c>
      <c r="K95">
        <v>1</v>
      </c>
      <c r="L95" s="13">
        <v>144</v>
      </c>
      <c r="M95" t="s">
        <v>41</v>
      </c>
      <c r="N95" t="s">
        <v>50</v>
      </c>
      <c r="O95" t="s">
        <v>60</v>
      </c>
      <c r="P95">
        <v>824</v>
      </c>
      <c r="Q95">
        <v>20</v>
      </c>
      <c r="R95">
        <v>35.633652343343876</v>
      </c>
      <c r="S95" t="s">
        <v>44</v>
      </c>
      <c r="T95">
        <v>4.1657817954241452</v>
      </c>
      <c r="U95" t="s">
        <v>38</v>
      </c>
      <c r="V95" t="s">
        <v>46</v>
      </c>
      <c r="W95">
        <v>823.52384588815585</v>
      </c>
    </row>
    <row r="96" spans="1:23">
      <c r="A96" t="s">
        <v>55</v>
      </c>
      <c r="B96" t="s">
        <v>146</v>
      </c>
      <c r="C96">
        <v>3.0376887246314141</v>
      </c>
      <c r="D96">
        <v>97</v>
      </c>
      <c r="E96">
        <v>987</v>
      </c>
      <c r="F96">
        <v>7888.3565466618729</v>
      </c>
      <c r="G96" t="s">
        <v>36</v>
      </c>
      <c r="H96">
        <v>77</v>
      </c>
      <c r="I96">
        <v>26</v>
      </c>
      <c r="J96">
        <v>72</v>
      </c>
      <c r="K96">
        <v>9</v>
      </c>
      <c r="L96" s="13">
        <v>199</v>
      </c>
      <c r="M96" t="s">
        <v>25</v>
      </c>
      <c r="N96" t="s">
        <v>59</v>
      </c>
      <c r="O96" t="s">
        <v>48</v>
      </c>
      <c r="P96">
        <v>908</v>
      </c>
      <c r="Q96">
        <v>14</v>
      </c>
      <c r="R96">
        <v>60.387378614862122</v>
      </c>
      <c r="S96" t="s">
        <v>62</v>
      </c>
      <c r="T96">
        <v>1.4636074984727798</v>
      </c>
      <c r="U96" t="s">
        <v>45</v>
      </c>
      <c r="V96" t="s">
        <v>30</v>
      </c>
      <c r="W96">
        <v>846.66525698669477</v>
      </c>
    </row>
    <row r="97" spans="1:23">
      <c r="A97" t="s">
        <v>22</v>
      </c>
      <c r="B97" t="s">
        <v>147</v>
      </c>
      <c r="C97">
        <v>77.903927219447752</v>
      </c>
      <c r="D97">
        <v>65</v>
      </c>
      <c r="E97">
        <v>672</v>
      </c>
      <c r="F97">
        <v>7386.3639440486641</v>
      </c>
      <c r="G97" t="s">
        <v>36</v>
      </c>
      <c r="H97">
        <v>15</v>
      </c>
      <c r="I97">
        <v>14</v>
      </c>
      <c r="J97">
        <v>26</v>
      </c>
      <c r="K97">
        <v>9</v>
      </c>
      <c r="L97" s="13">
        <v>782</v>
      </c>
      <c r="M97" t="s">
        <v>25</v>
      </c>
      <c r="N97" t="s">
        <v>50</v>
      </c>
      <c r="O97" t="s">
        <v>27</v>
      </c>
      <c r="P97">
        <v>450</v>
      </c>
      <c r="Q97">
        <v>26</v>
      </c>
      <c r="R97">
        <v>58.890685768589982</v>
      </c>
      <c r="S97" t="s">
        <v>28</v>
      </c>
      <c r="T97">
        <v>1.2108821295850665</v>
      </c>
      <c r="U97" t="s">
        <v>38</v>
      </c>
      <c r="V97" t="s">
        <v>46</v>
      </c>
      <c r="W97">
        <v>778.8642413766479</v>
      </c>
    </row>
    <row r="98" spans="1:23">
      <c r="A98" t="s">
        <v>55</v>
      </c>
      <c r="B98" t="s">
        <v>148</v>
      </c>
      <c r="C98">
        <v>24.42313142037338</v>
      </c>
      <c r="D98">
        <v>29</v>
      </c>
      <c r="E98">
        <v>324</v>
      </c>
      <c r="F98">
        <v>7698.4247656321168</v>
      </c>
      <c r="G98" t="s">
        <v>24</v>
      </c>
      <c r="H98">
        <v>67</v>
      </c>
      <c r="I98">
        <v>2</v>
      </c>
      <c r="J98">
        <v>32</v>
      </c>
      <c r="K98">
        <v>3</v>
      </c>
      <c r="L98" s="13">
        <v>370</v>
      </c>
      <c r="M98" t="s">
        <v>41</v>
      </c>
      <c r="N98" t="s">
        <v>26</v>
      </c>
      <c r="O98" t="s">
        <v>27</v>
      </c>
      <c r="P98">
        <v>648</v>
      </c>
      <c r="Q98">
        <v>28</v>
      </c>
      <c r="R98">
        <v>17.80375633139127</v>
      </c>
      <c r="S98" t="s">
        <v>28</v>
      </c>
      <c r="T98">
        <v>3.8720476814821332</v>
      </c>
      <c r="U98" t="s">
        <v>29</v>
      </c>
      <c r="V98" t="s">
        <v>46</v>
      </c>
      <c r="W98">
        <v>188.74214114905698</v>
      </c>
    </row>
    <row r="99" spans="1:23">
      <c r="A99" t="s">
        <v>22</v>
      </c>
      <c r="B99" t="s">
        <v>149</v>
      </c>
      <c r="C99">
        <v>3.5261112591434158</v>
      </c>
      <c r="D99">
        <v>56</v>
      </c>
      <c r="E99">
        <v>62</v>
      </c>
      <c r="F99">
        <v>4370.9165799845359</v>
      </c>
      <c r="G99" t="s">
        <v>53</v>
      </c>
      <c r="H99">
        <v>46</v>
      </c>
      <c r="I99">
        <v>19</v>
      </c>
      <c r="J99">
        <v>4</v>
      </c>
      <c r="K99">
        <v>9</v>
      </c>
      <c r="L99" s="13">
        <v>508</v>
      </c>
      <c r="M99" t="s">
        <v>34</v>
      </c>
      <c r="N99" t="s">
        <v>50</v>
      </c>
      <c r="O99" t="s">
        <v>27</v>
      </c>
      <c r="P99">
        <v>535</v>
      </c>
      <c r="Q99">
        <v>13</v>
      </c>
      <c r="R99">
        <v>65.765155926367456</v>
      </c>
      <c r="S99" t="s">
        <v>44</v>
      </c>
      <c r="T99">
        <v>3.3762378347179811</v>
      </c>
      <c r="U99" t="s">
        <v>29</v>
      </c>
      <c r="V99" t="s">
        <v>46</v>
      </c>
      <c r="W99">
        <v>540.13242286796776</v>
      </c>
    </row>
    <row r="100" spans="1:23">
      <c r="A100" t="s">
        <v>31</v>
      </c>
      <c r="B100" t="s">
        <v>150</v>
      </c>
      <c r="C100">
        <v>19.754604866878601</v>
      </c>
      <c r="D100">
        <v>43</v>
      </c>
      <c r="E100">
        <v>913</v>
      </c>
      <c r="F100">
        <v>8525.9525596835265</v>
      </c>
      <c r="G100" t="s">
        <v>33</v>
      </c>
      <c r="H100">
        <v>53</v>
      </c>
      <c r="I100">
        <v>1</v>
      </c>
      <c r="J100">
        <v>27</v>
      </c>
      <c r="K100">
        <v>7</v>
      </c>
      <c r="L100" s="13">
        <v>1109</v>
      </c>
      <c r="M100" t="s">
        <v>25</v>
      </c>
      <c r="N100" t="s">
        <v>42</v>
      </c>
      <c r="O100" t="s">
        <v>60</v>
      </c>
      <c r="P100">
        <v>581</v>
      </c>
      <c r="Q100">
        <v>9</v>
      </c>
      <c r="R100">
        <v>5.604690864371781</v>
      </c>
      <c r="S100" t="s">
        <v>28</v>
      </c>
      <c r="T100">
        <v>2.9081221693512611</v>
      </c>
      <c r="U100" t="s">
        <v>45</v>
      </c>
      <c r="V100" t="s">
        <v>46</v>
      </c>
      <c r="W100">
        <v>882.19886354704147</v>
      </c>
    </row>
    <row r="101" spans="1:23">
      <c r="A101" t="s">
        <v>22</v>
      </c>
      <c r="B101" t="s">
        <v>151</v>
      </c>
      <c r="C101">
        <v>68.517832699276639</v>
      </c>
      <c r="D101">
        <v>17</v>
      </c>
      <c r="E101">
        <v>627</v>
      </c>
      <c r="F101">
        <v>9185.1858291817043</v>
      </c>
      <c r="G101" t="s">
        <v>36</v>
      </c>
      <c r="H101">
        <v>55</v>
      </c>
      <c r="I101">
        <v>8</v>
      </c>
      <c r="J101">
        <v>59</v>
      </c>
      <c r="K101">
        <v>6</v>
      </c>
      <c r="L101" s="13"/>
      <c r="M101" t="s">
        <v>25</v>
      </c>
      <c r="N101" t="s">
        <v>59</v>
      </c>
      <c r="O101" t="s">
        <v>60</v>
      </c>
      <c r="P101">
        <v>921</v>
      </c>
      <c r="Q101">
        <v>2</v>
      </c>
      <c r="R101">
        <v>38.07289852062604</v>
      </c>
      <c r="S101" t="s">
        <v>44</v>
      </c>
      <c r="T101">
        <v>0.34602729070550342</v>
      </c>
      <c r="U101" t="s">
        <v>45</v>
      </c>
      <c r="V101" t="s">
        <v>30</v>
      </c>
      <c r="W101">
        <v>210.74300896424614</v>
      </c>
    </row>
  </sheetData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4CC4-7527-4968-A3B8-1A7559B7B435}">
  <dimension ref="A1:AC101"/>
  <sheetViews>
    <sheetView workbookViewId="0">
      <selection activeCell="L5" sqref="L5"/>
    </sheetView>
  </sheetViews>
  <sheetFormatPr defaultRowHeight="15"/>
  <cols>
    <col min="1" max="1" width="14.7109375" bestFit="1" customWidth="1"/>
    <col min="2" max="2" width="6.85546875" bestFit="1" customWidth="1"/>
    <col min="3" max="3" width="12" bestFit="1" customWidth="1"/>
    <col min="4" max="4" width="13.140625" bestFit="1" customWidth="1"/>
    <col min="5" max="5" width="26" bestFit="1" customWidth="1"/>
    <col min="6" max="6" width="21.140625" bestFit="1" customWidth="1"/>
    <col min="7" max="7" width="25.85546875" bestFit="1" customWidth="1"/>
    <col min="8" max="8" width="14.140625" bestFit="1" customWidth="1"/>
    <col min="9" max="9" width="20.42578125" bestFit="1" customWidth="1"/>
    <col min="10" max="10" width="18.140625" bestFit="1" customWidth="1"/>
    <col min="11" max="11" width="16.85546875" bestFit="1" customWidth="1"/>
    <col min="12" max="12" width="18.5703125" bestFit="1" customWidth="1"/>
    <col min="13" max="13" width="16.5703125" bestFit="1" customWidth="1"/>
    <col min="14" max="14" width="16.42578125" bestFit="1" customWidth="1"/>
    <col min="15" max="15" width="11" bestFit="1" customWidth="1"/>
    <col min="16" max="16" width="21.5703125" bestFit="1" customWidth="1"/>
    <col min="17" max="17" width="25.42578125" bestFit="1" customWidth="1"/>
    <col min="18" max="18" width="21.7109375" bestFit="1" customWidth="1"/>
    <col min="19" max="19" width="19.85546875" bestFit="1" customWidth="1"/>
    <col min="20" max="20" width="14.42578125" bestFit="1" customWidth="1"/>
    <col min="21" max="21" width="23.28515625" bestFit="1" customWidth="1"/>
    <col min="22" max="22" width="9.7109375" bestFit="1" customWidth="1"/>
    <col min="23" max="23" width="12" bestFit="1" customWidth="1"/>
    <col min="24" max="24" width="13.42578125" bestFit="1" customWidth="1"/>
    <col min="25" max="25" width="18" bestFit="1" customWidth="1"/>
    <col min="26" max="26" width="21.5703125" bestFit="1" customWidth="1"/>
    <col min="27" max="27" width="19" bestFit="1" customWidth="1"/>
    <col min="28" max="28" width="23.140625" bestFit="1" customWidth="1"/>
    <col min="29" max="29" width="17.42578125" bestFit="1" customWidth="1"/>
    <col min="30" max="30" width="23.1406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154</v>
      </c>
      <c r="Y1" t="s">
        <v>152</v>
      </c>
      <c r="Z1" t="s">
        <v>153</v>
      </c>
      <c r="AA1" t="s">
        <v>156</v>
      </c>
      <c r="AB1" t="s">
        <v>157</v>
      </c>
      <c r="AC1" t="s">
        <v>155</v>
      </c>
    </row>
    <row r="2" spans="1:29">
      <c r="A2" t="s">
        <v>22</v>
      </c>
      <c r="B2" t="s">
        <v>23</v>
      </c>
      <c r="C2">
        <v>69.808005542115765</v>
      </c>
      <c r="D2">
        <v>55</v>
      </c>
      <c r="E2">
        <v>802</v>
      </c>
      <c r="F2">
        <v>8661.9967923923832</v>
      </c>
      <c r="G2" t="s">
        <v>24</v>
      </c>
      <c r="H2">
        <v>58</v>
      </c>
      <c r="I2">
        <v>7</v>
      </c>
      <c r="J2">
        <v>96</v>
      </c>
      <c r="K2">
        <v>4</v>
      </c>
      <c r="L2" t="s">
        <v>25</v>
      </c>
      <c r="M2" s="13">
        <v>103</v>
      </c>
      <c r="N2" t="s">
        <v>26</v>
      </c>
      <c r="O2" t="s">
        <v>27</v>
      </c>
      <c r="P2">
        <v>215</v>
      </c>
      <c r="Q2">
        <v>29</v>
      </c>
      <c r="R2">
        <v>46.279879240508322</v>
      </c>
      <c r="S2" t="s">
        <v>28</v>
      </c>
      <c r="T2">
        <v>0.22641036084992516</v>
      </c>
      <c r="U2" t="s">
        <v>29</v>
      </c>
      <c r="V2" t="s">
        <v>30</v>
      </c>
      <c r="W2">
        <v>187.75207545920392</v>
      </c>
      <c r="X2">
        <f>SupplyChain4[[#This Row],[Costs]]+SupplyChain4[[#This Row],[Shipping costs]]+SupplyChain4[[#This Row],[Manufacturing costs]]</f>
        <v>337.03195469971223</v>
      </c>
      <c r="Y2">
        <f>SupplyChain4[[#This Row],[Revenue generated]]-SupplyChain4[[#This Row],[Total Costs]]</f>
        <v>8324.9648376926707</v>
      </c>
      <c r="Z2">
        <f>IF(SupplyChain4[[#This Row],[Stock levels]]=0,"",SupplyChain4[[#This Row],[Number of products sold]]/SupplyChain4[[#This Row],[Stock levels]])</f>
        <v>13.827586206896552</v>
      </c>
      <c r="AA2">
        <f>IFERROR(SupplyChain4[[#This Row],[Revenue generated]]/SupplyChain4[[#This Row],[Number of products sold]],0)</f>
        <v>10.800494753606463</v>
      </c>
      <c r="AB2">
        <f>IFERROR(SupplyChain4[[#This Row],[Shipping costs]]/SupplyChain4[[#This Row],[Number of products sold]],0)</f>
        <v>0.128428927680798</v>
      </c>
      <c r="AC2">
        <f>SupplyChain4[[#This Row],[Supplier Lead time]]+SupplyChain4[[#This Row],[Shipping times]]+SupplyChain4[[#This Row],[Manufacturing lead time]]</f>
        <v>40</v>
      </c>
    </row>
    <row r="3" spans="1:29">
      <c r="A3" t="s">
        <v>31</v>
      </c>
      <c r="B3" t="s">
        <v>32</v>
      </c>
      <c r="C3">
        <v>14.843523275084339</v>
      </c>
      <c r="D3">
        <v>95</v>
      </c>
      <c r="E3">
        <v>736</v>
      </c>
      <c r="F3">
        <v>7460.9000654458487</v>
      </c>
      <c r="G3" t="s">
        <v>33</v>
      </c>
      <c r="H3">
        <v>53</v>
      </c>
      <c r="I3">
        <v>30</v>
      </c>
      <c r="J3">
        <v>37</v>
      </c>
      <c r="K3">
        <v>2</v>
      </c>
      <c r="L3" t="s">
        <v>34</v>
      </c>
      <c r="M3" s="13">
        <v>938</v>
      </c>
      <c r="N3" t="s">
        <v>26</v>
      </c>
      <c r="O3" t="s">
        <v>27</v>
      </c>
      <c r="P3">
        <v>517</v>
      </c>
      <c r="Q3">
        <v>30</v>
      </c>
      <c r="R3">
        <v>33.616768953730002</v>
      </c>
      <c r="S3" t="s">
        <v>28</v>
      </c>
      <c r="T3">
        <v>4.8540680263887062</v>
      </c>
      <c r="U3" t="s">
        <v>29</v>
      </c>
      <c r="V3" t="s">
        <v>30</v>
      </c>
      <c r="W3">
        <v>503.06557914966919</v>
      </c>
      <c r="X3">
        <f>SupplyChain4[[#This Row],[Costs]]+SupplyChain4[[#This Row],[Shipping costs]]+SupplyChain4[[#This Row],[Manufacturing costs]]</f>
        <v>1474.6823481033994</v>
      </c>
      <c r="Y3">
        <f>SupplyChain4[[#This Row],[Revenue generated]]-SupplyChain4[[#This Row],[Total Costs]]</f>
        <v>5986.2177173424498</v>
      </c>
      <c r="Z3">
        <f>IF(SupplyChain4[[#This Row],[Stock levels]]=0,"",SupplyChain4[[#This Row],[Number of products sold]]/SupplyChain4[[#This Row],[Stock levels]])</f>
        <v>13.886792452830189</v>
      </c>
      <c r="AA3">
        <f>IFERROR(SupplyChain4[[#This Row],[Revenue generated]]/SupplyChain4[[#This Row],[Number of products sold]],0)</f>
        <v>10.137092480225338</v>
      </c>
      <c r="AB3">
        <f>IFERROR(SupplyChain4[[#This Row],[Shipping costs]]/SupplyChain4[[#This Row],[Number of products sold]],0)</f>
        <v>1.2744565217391304</v>
      </c>
      <c r="AC3">
        <f>SupplyChain4[[#This Row],[Supplier Lead time]]+SupplyChain4[[#This Row],[Shipping times]]+SupplyChain4[[#This Row],[Manufacturing lead time]]</f>
        <v>62</v>
      </c>
    </row>
    <row r="4" spans="1:29">
      <c r="A4" t="s">
        <v>22</v>
      </c>
      <c r="B4" t="s">
        <v>35</v>
      </c>
      <c r="C4">
        <v>11.319683293090566</v>
      </c>
      <c r="D4">
        <v>34</v>
      </c>
      <c r="E4">
        <v>635</v>
      </c>
      <c r="F4">
        <v>9577.7496258687297</v>
      </c>
      <c r="G4" t="s">
        <v>36</v>
      </c>
      <c r="H4">
        <v>24</v>
      </c>
      <c r="I4">
        <v>10</v>
      </c>
      <c r="J4">
        <v>88</v>
      </c>
      <c r="K4">
        <v>2</v>
      </c>
      <c r="L4" t="s">
        <v>25</v>
      </c>
      <c r="M4" s="13">
        <v>480</v>
      </c>
      <c r="N4" t="s">
        <v>37</v>
      </c>
      <c r="O4" t="s">
        <v>27</v>
      </c>
      <c r="P4">
        <v>971</v>
      </c>
      <c r="Q4">
        <v>27</v>
      </c>
      <c r="R4">
        <v>30.688019348284204</v>
      </c>
      <c r="S4" t="s">
        <v>28</v>
      </c>
      <c r="T4">
        <v>4.580592619199229</v>
      </c>
      <c r="U4" t="s">
        <v>38</v>
      </c>
      <c r="V4" t="s">
        <v>39</v>
      </c>
      <c r="W4">
        <v>141.92028177151906</v>
      </c>
      <c r="X4">
        <f>SupplyChain4[[#This Row],[Costs]]+SupplyChain4[[#This Row],[Shipping costs]]+SupplyChain4[[#This Row],[Manufacturing costs]]</f>
        <v>652.60830111980329</v>
      </c>
      <c r="Y4">
        <f>SupplyChain4[[#This Row],[Revenue generated]]-SupplyChain4[[#This Row],[Total Costs]]</f>
        <v>8925.1413247489272</v>
      </c>
      <c r="Z4">
        <f>IF(SupplyChain4[[#This Row],[Stock levels]]=0,"",SupplyChain4[[#This Row],[Number of products sold]]/SupplyChain4[[#This Row],[Stock levels]])</f>
        <v>26.458333333333332</v>
      </c>
      <c r="AA4">
        <f>IFERROR(SupplyChain4[[#This Row],[Revenue generated]]/SupplyChain4[[#This Row],[Number of products sold]],0)</f>
        <v>15.08307027695863</v>
      </c>
      <c r="AB4">
        <f>IFERROR(SupplyChain4[[#This Row],[Shipping costs]]/SupplyChain4[[#This Row],[Number of products sold]],0)</f>
        <v>0.75590551181102361</v>
      </c>
      <c r="AC4">
        <f>SupplyChain4[[#This Row],[Supplier Lead time]]+SupplyChain4[[#This Row],[Shipping times]]+SupplyChain4[[#This Row],[Manufacturing lead time]]</f>
        <v>39</v>
      </c>
    </row>
    <row r="5" spans="1:29">
      <c r="A5" t="s">
        <v>31</v>
      </c>
      <c r="B5" t="s">
        <v>40</v>
      </c>
      <c r="C5">
        <v>61.163343016437736</v>
      </c>
      <c r="D5">
        <v>68</v>
      </c>
      <c r="E5">
        <v>83</v>
      </c>
      <c r="F5">
        <v>7766.8364256852328</v>
      </c>
      <c r="G5" t="s">
        <v>24</v>
      </c>
      <c r="H5">
        <v>23</v>
      </c>
      <c r="I5">
        <v>13</v>
      </c>
      <c r="J5">
        <v>59</v>
      </c>
      <c r="K5">
        <v>6</v>
      </c>
      <c r="L5" t="s">
        <v>41</v>
      </c>
      <c r="M5" s="13">
        <v>945</v>
      </c>
      <c r="N5" t="s">
        <v>42</v>
      </c>
      <c r="O5" t="s">
        <v>43</v>
      </c>
      <c r="P5">
        <v>937</v>
      </c>
      <c r="Q5">
        <v>18</v>
      </c>
      <c r="R5">
        <v>35.624741397125028</v>
      </c>
      <c r="S5" t="s">
        <v>44</v>
      </c>
      <c r="T5">
        <v>4.7466486206477496</v>
      </c>
      <c r="U5" t="s">
        <v>45</v>
      </c>
      <c r="V5" t="s">
        <v>46</v>
      </c>
      <c r="W5">
        <v>254.77615921928663</v>
      </c>
      <c r="X5">
        <f>SupplyChain4[[#This Row],[Costs]]+SupplyChain4[[#This Row],[Shipping costs]]+SupplyChain4[[#This Row],[Manufacturing costs]]</f>
        <v>1235.4009006164117</v>
      </c>
      <c r="Y5">
        <f>SupplyChain4[[#This Row],[Revenue generated]]-SupplyChain4[[#This Row],[Total Costs]]</f>
        <v>6531.4355250688213</v>
      </c>
      <c r="Z5">
        <f>IF(SupplyChain4[[#This Row],[Stock levels]]=0,"",SupplyChain4[[#This Row],[Number of products sold]]/SupplyChain4[[#This Row],[Stock levels]])</f>
        <v>3.6086956521739131</v>
      </c>
      <c r="AA5">
        <f>IFERROR(SupplyChain4[[#This Row],[Revenue generated]]/SupplyChain4[[#This Row],[Number of products sold]],0)</f>
        <v>93.576342478135331</v>
      </c>
      <c r="AB5">
        <f>IFERROR(SupplyChain4[[#This Row],[Shipping costs]]/SupplyChain4[[#This Row],[Number of products sold]],0)</f>
        <v>11.385542168674698</v>
      </c>
      <c r="AC5">
        <f>SupplyChain4[[#This Row],[Supplier Lead time]]+SupplyChain4[[#This Row],[Shipping times]]+SupplyChain4[[#This Row],[Manufacturing lead time]]</f>
        <v>37</v>
      </c>
    </row>
    <row r="6" spans="1:29">
      <c r="A6" t="s">
        <v>31</v>
      </c>
      <c r="B6" t="s">
        <v>47</v>
      </c>
      <c r="C6">
        <v>4.8054960363458932</v>
      </c>
      <c r="D6">
        <v>26</v>
      </c>
      <c r="E6">
        <v>871</v>
      </c>
      <c r="F6">
        <v>2686.5051515674468</v>
      </c>
      <c r="G6" t="s">
        <v>24</v>
      </c>
      <c r="H6">
        <v>5</v>
      </c>
      <c r="I6">
        <v>3</v>
      </c>
      <c r="J6">
        <v>56</v>
      </c>
      <c r="K6">
        <v>8</v>
      </c>
      <c r="L6" t="s">
        <v>34</v>
      </c>
      <c r="M6" s="13">
        <v>932</v>
      </c>
      <c r="N6" t="s">
        <v>37</v>
      </c>
      <c r="O6" t="s">
        <v>48</v>
      </c>
      <c r="P6">
        <v>414</v>
      </c>
      <c r="Q6">
        <v>3</v>
      </c>
      <c r="R6">
        <v>92.065160598712851</v>
      </c>
      <c r="S6" t="s">
        <v>44</v>
      </c>
      <c r="T6">
        <v>3.1455795228330019</v>
      </c>
      <c r="U6" t="s">
        <v>38</v>
      </c>
      <c r="V6" t="s">
        <v>46</v>
      </c>
      <c r="W6">
        <v>923.44063171192215</v>
      </c>
      <c r="X6">
        <f>SupplyChain4[[#This Row],[Costs]]+SupplyChain4[[#This Row],[Shipping costs]]+SupplyChain4[[#This Row],[Manufacturing costs]]</f>
        <v>1947.5057923106351</v>
      </c>
      <c r="Y6">
        <f>SupplyChain4[[#This Row],[Revenue generated]]-SupplyChain4[[#This Row],[Total Costs]]</f>
        <v>738.99935925681166</v>
      </c>
      <c r="Z6">
        <f>IF(SupplyChain4[[#This Row],[Stock levels]]=0,"",SupplyChain4[[#This Row],[Number of products sold]]/SupplyChain4[[#This Row],[Stock levels]])</f>
        <v>174.2</v>
      </c>
      <c r="AA6">
        <f>IFERROR(SupplyChain4[[#This Row],[Revenue generated]]/SupplyChain4[[#This Row],[Number of products sold]],0)</f>
        <v>3.0843916780338079</v>
      </c>
      <c r="AB6">
        <f>IFERROR(SupplyChain4[[#This Row],[Shipping costs]]/SupplyChain4[[#This Row],[Number of products sold]],0)</f>
        <v>1.0700344431687716</v>
      </c>
      <c r="AC6">
        <f>SupplyChain4[[#This Row],[Supplier Lead time]]+SupplyChain4[[#This Row],[Shipping times]]+SupplyChain4[[#This Row],[Manufacturing lead time]]</f>
        <v>14</v>
      </c>
    </row>
    <row r="7" spans="1:29">
      <c r="A7" t="s">
        <v>22</v>
      </c>
      <c r="B7" t="s">
        <v>49</v>
      </c>
      <c r="C7">
        <v>1.6999760138659377</v>
      </c>
      <c r="D7">
        <v>87</v>
      </c>
      <c r="E7">
        <v>147</v>
      </c>
      <c r="F7">
        <v>2828.3487459757589</v>
      </c>
      <c r="G7" t="s">
        <v>24</v>
      </c>
      <c r="H7">
        <v>90</v>
      </c>
      <c r="I7">
        <v>27</v>
      </c>
      <c r="J7">
        <v>66</v>
      </c>
      <c r="K7">
        <v>3</v>
      </c>
      <c r="L7" t="s">
        <v>25</v>
      </c>
      <c r="M7" s="13">
        <v>466</v>
      </c>
      <c r="N7" t="s">
        <v>50</v>
      </c>
      <c r="O7" t="s">
        <v>51</v>
      </c>
      <c r="P7">
        <v>104</v>
      </c>
      <c r="Q7">
        <v>17</v>
      </c>
      <c r="R7">
        <v>56.766475557431797</v>
      </c>
      <c r="S7" t="s">
        <v>44</v>
      </c>
      <c r="T7">
        <v>2.7791935115711617</v>
      </c>
      <c r="U7" t="s">
        <v>29</v>
      </c>
      <c r="V7" t="s">
        <v>46</v>
      </c>
      <c r="W7">
        <v>235.46123673553751</v>
      </c>
      <c r="X7">
        <f>SupplyChain4[[#This Row],[Costs]]+SupplyChain4[[#This Row],[Shipping costs]]+SupplyChain4[[#This Row],[Manufacturing costs]]</f>
        <v>758.22771229296939</v>
      </c>
      <c r="Y7">
        <f>SupplyChain4[[#This Row],[Revenue generated]]-SupplyChain4[[#This Row],[Total Costs]]</f>
        <v>2070.1210336827894</v>
      </c>
      <c r="Z7">
        <f>IF(SupplyChain4[[#This Row],[Stock levels]]=0,"",SupplyChain4[[#This Row],[Number of products sold]]/SupplyChain4[[#This Row],[Stock levels]])</f>
        <v>1.6333333333333333</v>
      </c>
      <c r="AA7">
        <f>IFERROR(SupplyChain4[[#This Row],[Revenue generated]]/SupplyChain4[[#This Row],[Number of products sold]],0)</f>
        <v>19.240467659699039</v>
      </c>
      <c r="AB7">
        <f>IFERROR(SupplyChain4[[#This Row],[Shipping costs]]/SupplyChain4[[#This Row],[Number of products sold]],0)</f>
        <v>3.1700680272108843</v>
      </c>
      <c r="AC7">
        <f>SupplyChain4[[#This Row],[Supplier Lead time]]+SupplyChain4[[#This Row],[Shipping times]]+SupplyChain4[[#This Row],[Manufacturing lead time]]</f>
        <v>47</v>
      </c>
    </row>
    <row r="8" spans="1:29">
      <c r="A8" t="s">
        <v>31</v>
      </c>
      <c r="B8" t="s">
        <v>52</v>
      </c>
      <c r="C8">
        <v>4.0783328631079447</v>
      </c>
      <c r="D8">
        <v>48</v>
      </c>
      <c r="E8">
        <v>65</v>
      </c>
      <c r="F8">
        <v>7823.4765595317367</v>
      </c>
      <c r="G8" t="s">
        <v>53</v>
      </c>
      <c r="H8">
        <v>11</v>
      </c>
      <c r="I8">
        <v>15</v>
      </c>
      <c r="J8">
        <v>58</v>
      </c>
      <c r="K8">
        <v>8</v>
      </c>
      <c r="L8" t="s">
        <v>41</v>
      </c>
      <c r="M8" s="13">
        <v>759</v>
      </c>
      <c r="N8" t="s">
        <v>26</v>
      </c>
      <c r="O8" t="s">
        <v>43</v>
      </c>
      <c r="P8">
        <v>314</v>
      </c>
      <c r="Q8">
        <v>24</v>
      </c>
      <c r="R8">
        <v>1.0850685695870688</v>
      </c>
      <c r="S8" t="s">
        <v>28</v>
      </c>
      <c r="T8">
        <v>1.0009106193041357</v>
      </c>
      <c r="U8" t="s">
        <v>54</v>
      </c>
      <c r="V8" t="s">
        <v>46</v>
      </c>
      <c r="W8">
        <v>134.36909686103172</v>
      </c>
      <c r="X8">
        <f>SupplyChain4[[#This Row],[Costs]]+SupplyChain4[[#This Row],[Shipping costs]]+SupplyChain4[[#This Row],[Manufacturing costs]]</f>
        <v>894.45416543061879</v>
      </c>
      <c r="Y8">
        <f>SupplyChain4[[#This Row],[Revenue generated]]-SupplyChain4[[#This Row],[Total Costs]]</f>
        <v>6929.0223941011182</v>
      </c>
      <c r="Z8">
        <f>IF(SupplyChain4[[#This Row],[Stock levels]]=0,"",SupplyChain4[[#This Row],[Number of products sold]]/SupplyChain4[[#This Row],[Stock levels]])</f>
        <v>5.9090909090909092</v>
      </c>
      <c r="AA8">
        <f>IFERROR(SupplyChain4[[#This Row],[Revenue generated]]/SupplyChain4[[#This Row],[Number of products sold]],0)</f>
        <v>120.3611778389498</v>
      </c>
      <c r="AB8">
        <f>IFERROR(SupplyChain4[[#This Row],[Shipping costs]]/SupplyChain4[[#This Row],[Number of products sold]],0)</f>
        <v>11.676923076923076</v>
      </c>
      <c r="AC8">
        <f>SupplyChain4[[#This Row],[Supplier Lead time]]+SupplyChain4[[#This Row],[Shipping times]]+SupplyChain4[[#This Row],[Manufacturing lead time]]</f>
        <v>47</v>
      </c>
    </row>
    <row r="9" spans="1:29">
      <c r="A9" t="s">
        <v>55</v>
      </c>
      <c r="B9" t="s">
        <v>56</v>
      </c>
      <c r="C9">
        <v>42.958384382460068</v>
      </c>
      <c r="D9">
        <v>59</v>
      </c>
      <c r="E9">
        <v>426</v>
      </c>
      <c r="F9">
        <v>8496.1038130898378</v>
      </c>
      <c r="G9" t="s">
        <v>33</v>
      </c>
      <c r="H9">
        <v>93</v>
      </c>
      <c r="I9">
        <v>17</v>
      </c>
      <c r="J9">
        <v>11</v>
      </c>
      <c r="K9">
        <v>1</v>
      </c>
      <c r="L9" t="s">
        <v>25</v>
      </c>
      <c r="M9" s="13">
        <v>388</v>
      </c>
      <c r="N9" t="s">
        <v>50</v>
      </c>
      <c r="O9" t="s">
        <v>51</v>
      </c>
      <c r="P9">
        <v>564</v>
      </c>
      <c r="Q9">
        <v>1</v>
      </c>
      <c r="R9">
        <v>99.466108603599125</v>
      </c>
      <c r="S9" t="s">
        <v>44</v>
      </c>
      <c r="T9">
        <v>0.39817718685065062</v>
      </c>
      <c r="U9" t="s">
        <v>29</v>
      </c>
      <c r="V9" t="s">
        <v>39</v>
      </c>
      <c r="W9">
        <v>802.05631181755859</v>
      </c>
      <c r="X9">
        <f>SupplyChain4[[#This Row],[Costs]]+SupplyChain4[[#This Row],[Shipping costs]]+SupplyChain4[[#This Row],[Manufacturing costs]]</f>
        <v>1289.5224204211579</v>
      </c>
      <c r="Y9">
        <f>SupplyChain4[[#This Row],[Revenue generated]]-SupplyChain4[[#This Row],[Total Costs]]</f>
        <v>7206.5813926686797</v>
      </c>
      <c r="Z9">
        <f>IF(SupplyChain4[[#This Row],[Stock levels]]=0,"",SupplyChain4[[#This Row],[Number of products sold]]/SupplyChain4[[#This Row],[Stock levels]])</f>
        <v>4.580645161290323</v>
      </c>
      <c r="AA9">
        <f>IFERROR(SupplyChain4[[#This Row],[Revenue generated]]/SupplyChain4[[#This Row],[Number of products sold]],0)</f>
        <v>19.943905664530135</v>
      </c>
      <c r="AB9">
        <f>IFERROR(SupplyChain4[[#This Row],[Shipping costs]]/SupplyChain4[[#This Row],[Number of products sold]],0)</f>
        <v>0.91079812206572774</v>
      </c>
      <c r="AC9">
        <f>SupplyChain4[[#This Row],[Supplier Lead time]]+SupplyChain4[[#This Row],[Shipping times]]+SupplyChain4[[#This Row],[Manufacturing lead time]]</f>
        <v>19</v>
      </c>
    </row>
    <row r="10" spans="1:29">
      <c r="A10" t="s">
        <v>55</v>
      </c>
      <c r="B10" t="s">
        <v>57</v>
      </c>
      <c r="C10">
        <v>68.717596748527328</v>
      </c>
      <c r="D10">
        <v>78</v>
      </c>
      <c r="E10">
        <v>150</v>
      </c>
      <c r="F10">
        <v>7517.363210631127</v>
      </c>
      <c r="G10" t="s">
        <v>33</v>
      </c>
      <c r="H10">
        <v>5</v>
      </c>
      <c r="I10">
        <v>10</v>
      </c>
      <c r="J10">
        <v>15</v>
      </c>
      <c r="K10">
        <v>7</v>
      </c>
      <c r="L10" t="s">
        <v>41</v>
      </c>
      <c r="M10" s="13">
        <v>388</v>
      </c>
      <c r="N10" t="s">
        <v>50</v>
      </c>
      <c r="O10" t="s">
        <v>27</v>
      </c>
      <c r="P10">
        <v>769</v>
      </c>
      <c r="Q10">
        <v>8</v>
      </c>
      <c r="R10">
        <v>11.423027139565695</v>
      </c>
      <c r="S10" t="s">
        <v>28</v>
      </c>
      <c r="T10">
        <v>2.7098626911099615</v>
      </c>
      <c r="U10" t="s">
        <v>54</v>
      </c>
      <c r="V10" t="s">
        <v>30</v>
      </c>
      <c r="W10">
        <v>505.55713422546415</v>
      </c>
      <c r="X10">
        <f>SupplyChain4[[#This Row],[Costs]]+SupplyChain4[[#This Row],[Shipping costs]]+SupplyChain4[[#This Row],[Manufacturing costs]]</f>
        <v>904.98016136502974</v>
      </c>
      <c r="Y10">
        <f>SupplyChain4[[#This Row],[Revenue generated]]-SupplyChain4[[#This Row],[Total Costs]]</f>
        <v>6612.3830492660973</v>
      </c>
      <c r="Z10">
        <f>IF(SupplyChain4[[#This Row],[Stock levels]]=0,"",SupplyChain4[[#This Row],[Number of products sold]]/SupplyChain4[[#This Row],[Stock levels]])</f>
        <v>30</v>
      </c>
      <c r="AA10">
        <f>IFERROR(SupplyChain4[[#This Row],[Revenue generated]]/SupplyChain4[[#This Row],[Number of products sold]],0)</f>
        <v>50.115754737540847</v>
      </c>
      <c r="AB10">
        <f>IFERROR(SupplyChain4[[#This Row],[Shipping costs]]/SupplyChain4[[#This Row],[Number of products sold]],0)</f>
        <v>2.5866666666666664</v>
      </c>
      <c r="AC10">
        <f>SupplyChain4[[#This Row],[Supplier Lead time]]+SupplyChain4[[#This Row],[Shipping times]]+SupplyChain4[[#This Row],[Manufacturing lead time]]</f>
        <v>25</v>
      </c>
    </row>
    <row r="11" spans="1:29">
      <c r="A11" t="s">
        <v>31</v>
      </c>
      <c r="B11" t="s">
        <v>58</v>
      </c>
      <c r="C11">
        <v>64.015732941278543</v>
      </c>
      <c r="D11">
        <v>35</v>
      </c>
      <c r="E11">
        <v>980</v>
      </c>
      <c r="F11">
        <v>4971.145987585558</v>
      </c>
      <c r="G11" t="s">
        <v>36</v>
      </c>
      <c r="H11">
        <v>14</v>
      </c>
      <c r="I11">
        <v>27</v>
      </c>
      <c r="J11">
        <v>83</v>
      </c>
      <c r="K11">
        <v>1</v>
      </c>
      <c r="L11" t="s">
        <v>34</v>
      </c>
      <c r="M11" s="13">
        <v>1098</v>
      </c>
      <c r="N11" t="s">
        <v>59</v>
      </c>
      <c r="O11" t="s">
        <v>60</v>
      </c>
      <c r="P11">
        <v>963</v>
      </c>
      <c r="Q11">
        <v>23</v>
      </c>
      <c r="R11">
        <v>47.95760163495158</v>
      </c>
      <c r="S11" t="s">
        <v>28</v>
      </c>
      <c r="T11">
        <v>3.8446144787675851</v>
      </c>
      <c r="U11" t="s">
        <v>45</v>
      </c>
      <c r="V11" t="s">
        <v>30</v>
      </c>
      <c r="W11">
        <v>995.92946149864167</v>
      </c>
      <c r="X11">
        <f>SupplyChain4[[#This Row],[Costs]]+SupplyChain4[[#This Row],[Shipping costs]]+SupplyChain4[[#This Row],[Manufacturing costs]]</f>
        <v>2141.8870631335931</v>
      </c>
      <c r="Y11">
        <f>SupplyChain4[[#This Row],[Revenue generated]]-SupplyChain4[[#This Row],[Total Costs]]</f>
        <v>2829.258924451965</v>
      </c>
      <c r="Z11">
        <f>IF(SupplyChain4[[#This Row],[Stock levels]]=0,"",SupplyChain4[[#This Row],[Number of products sold]]/SupplyChain4[[#This Row],[Stock levels]])</f>
        <v>70</v>
      </c>
      <c r="AA11">
        <f>IFERROR(SupplyChain4[[#This Row],[Revenue generated]]/SupplyChain4[[#This Row],[Number of products sold]],0)</f>
        <v>5.0725979465158755</v>
      </c>
      <c r="AB11">
        <f>IFERROR(SupplyChain4[[#This Row],[Shipping costs]]/SupplyChain4[[#This Row],[Number of products sold]],0)</f>
        <v>1.120408163265306</v>
      </c>
      <c r="AC11">
        <f>SupplyChain4[[#This Row],[Supplier Lead time]]+SupplyChain4[[#This Row],[Shipping times]]+SupplyChain4[[#This Row],[Manufacturing lead time]]</f>
        <v>51</v>
      </c>
    </row>
    <row r="12" spans="1:29">
      <c r="A12" t="s">
        <v>31</v>
      </c>
      <c r="B12" t="s">
        <v>61</v>
      </c>
      <c r="C12">
        <v>15.707795681912138</v>
      </c>
      <c r="D12">
        <v>11</v>
      </c>
      <c r="E12">
        <v>996</v>
      </c>
      <c r="F12">
        <v>2330.9658020919492</v>
      </c>
      <c r="G12" t="s">
        <v>24</v>
      </c>
      <c r="H12">
        <v>51</v>
      </c>
      <c r="I12">
        <v>13</v>
      </c>
      <c r="J12">
        <v>80</v>
      </c>
      <c r="K12">
        <v>2</v>
      </c>
      <c r="L12" t="s">
        <v>41</v>
      </c>
      <c r="M12" s="13">
        <v>1074</v>
      </c>
      <c r="N12" t="s">
        <v>42</v>
      </c>
      <c r="O12" t="s">
        <v>43</v>
      </c>
      <c r="P12">
        <v>830</v>
      </c>
      <c r="Q12">
        <v>5</v>
      </c>
      <c r="R12">
        <v>96.52735278531091</v>
      </c>
      <c r="S12" t="s">
        <v>62</v>
      </c>
      <c r="T12">
        <v>1.7273139283559424</v>
      </c>
      <c r="U12" t="s">
        <v>29</v>
      </c>
      <c r="V12" t="s">
        <v>30</v>
      </c>
      <c r="W12">
        <v>806.10317770292295</v>
      </c>
      <c r="X12">
        <f>SupplyChain4[[#This Row],[Costs]]+SupplyChain4[[#This Row],[Shipping costs]]+SupplyChain4[[#This Row],[Manufacturing costs]]</f>
        <v>1976.6305304882339</v>
      </c>
      <c r="Y12">
        <f>SupplyChain4[[#This Row],[Revenue generated]]-SupplyChain4[[#This Row],[Total Costs]]</f>
        <v>354.33527160371523</v>
      </c>
      <c r="Z12">
        <f>IF(SupplyChain4[[#This Row],[Stock levels]]=0,"",SupplyChain4[[#This Row],[Number of products sold]]/SupplyChain4[[#This Row],[Stock levels]])</f>
        <v>19.529411764705884</v>
      </c>
      <c r="AA12">
        <f>IFERROR(SupplyChain4[[#This Row],[Revenue generated]]/SupplyChain4[[#This Row],[Number of products sold]],0)</f>
        <v>2.3403271105340857</v>
      </c>
      <c r="AB12">
        <f>IFERROR(SupplyChain4[[#This Row],[Shipping costs]]/SupplyChain4[[#This Row],[Number of products sold]],0)</f>
        <v>1.0783132530120483</v>
      </c>
      <c r="AC12">
        <f>SupplyChain4[[#This Row],[Supplier Lead time]]+SupplyChain4[[#This Row],[Shipping times]]+SupplyChain4[[#This Row],[Manufacturing lead time]]</f>
        <v>20</v>
      </c>
    </row>
    <row r="13" spans="1:29">
      <c r="A13" t="s">
        <v>31</v>
      </c>
      <c r="B13" t="s">
        <v>63</v>
      </c>
      <c r="C13">
        <v>90.635459982288666</v>
      </c>
      <c r="D13">
        <v>95</v>
      </c>
      <c r="E13">
        <v>960</v>
      </c>
      <c r="F13">
        <v>6099.944115581452</v>
      </c>
      <c r="G13" t="s">
        <v>33</v>
      </c>
      <c r="H13">
        <v>46</v>
      </c>
      <c r="I13">
        <v>23</v>
      </c>
      <c r="J13">
        <v>60</v>
      </c>
      <c r="K13">
        <v>1</v>
      </c>
      <c r="L13" t="s">
        <v>34</v>
      </c>
      <c r="M13" s="13">
        <v>972</v>
      </c>
      <c r="N13" t="s">
        <v>59</v>
      </c>
      <c r="O13" t="s">
        <v>43</v>
      </c>
      <c r="P13">
        <v>362</v>
      </c>
      <c r="Q13">
        <v>11</v>
      </c>
      <c r="R13">
        <v>27.592363086663696</v>
      </c>
      <c r="S13" t="s">
        <v>28</v>
      </c>
      <c r="T13">
        <v>2.1169821372994391E-2</v>
      </c>
      <c r="U13" t="s">
        <v>38</v>
      </c>
      <c r="V13" t="s">
        <v>46</v>
      </c>
      <c r="W13">
        <v>126.72303340940725</v>
      </c>
      <c r="X13">
        <f>SupplyChain4[[#This Row],[Costs]]+SupplyChain4[[#This Row],[Shipping costs]]+SupplyChain4[[#This Row],[Manufacturing costs]]</f>
        <v>1126.3153964960709</v>
      </c>
      <c r="Y13">
        <f>SupplyChain4[[#This Row],[Revenue generated]]-SupplyChain4[[#This Row],[Total Costs]]</f>
        <v>4973.6287190853809</v>
      </c>
      <c r="Z13">
        <f>IF(SupplyChain4[[#This Row],[Stock levels]]=0,"",SupplyChain4[[#This Row],[Number of products sold]]/SupplyChain4[[#This Row],[Stock levels]])</f>
        <v>20.869565217391305</v>
      </c>
      <c r="AA13">
        <f>IFERROR(SupplyChain4[[#This Row],[Revenue generated]]/SupplyChain4[[#This Row],[Number of products sold]],0)</f>
        <v>6.3541084537306789</v>
      </c>
      <c r="AB13">
        <f>IFERROR(SupplyChain4[[#This Row],[Shipping costs]]/SupplyChain4[[#This Row],[Number of products sold]],0)</f>
        <v>1.0125</v>
      </c>
      <c r="AC13">
        <f>SupplyChain4[[#This Row],[Supplier Lead time]]+SupplyChain4[[#This Row],[Shipping times]]+SupplyChain4[[#This Row],[Manufacturing lead time]]</f>
        <v>35</v>
      </c>
    </row>
    <row r="14" spans="1:29">
      <c r="A14" t="s">
        <v>22</v>
      </c>
      <c r="B14" t="s">
        <v>64</v>
      </c>
      <c r="C14">
        <v>71.213389075360084</v>
      </c>
      <c r="D14">
        <v>41</v>
      </c>
      <c r="E14">
        <v>336</v>
      </c>
      <c r="F14">
        <v>2873.7414460214413</v>
      </c>
      <c r="G14" t="s">
        <v>36</v>
      </c>
      <c r="H14">
        <v>100</v>
      </c>
      <c r="I14">
        <v>30</v>
      </c>
      <c r="J14">
        <v>85</v>
      </c>
      <c r="K14">
        <v>4</v>
      </c>
      <c r="L14" t="s">
        <v>34</v>
      </c>
      <c r="M14" s="13">
        <v>231</v>
      </c>
      <c r="N14" t="s">
        <v>50</v>
      </c>
      <c r="O14" t="s">
        <v>43</v>
      </c>
      <c r="P14">
        <v>563</v>
      </c>
      <c r="Q14">
        <v>3</v>
      </c>
      <c r="R14">
        <v>32.321286213424031</v>
      </c>
      <c r="S14" t="s">
        <v>44</v>
      </c>
      <c r="T14">
        <v>2.1612537475559117</v>
      </c>
      <c r="U14" t="s">
        <v>29</v>
      </c>
      <c r="V14" t="s">
        <v>30</v>
      </c>
      <c r="W14">
        <v>402.96878907377061</v>
      </c>
      <c r="X14">
        <f>SupplyChain4[[#This Row],[Costs]]+SupplyChain4[[#This Row],[Shipping costs]]+SupplyChain4[[#This Row],[Manufacturing costs]]</f>
        <v>666.29007528719467</v>
      </c>
      <c r="Y14">
        <f>SupplyChain4[[#This Row],[Revenue generated]]-SupplyChain4[[#This Row],[Total Costs]]</f>
        <v>2207.4513707342467</v>
      </c>
      <c r="Z14">
        <f>IF(SupplyChain4[[#This Row],[Stock levels]]=0,"",SupplyChain4[[#This Row],[Number of products sold]]/SupplyChain4[[#This Row],[Stock levels]])</f>
        <v>3.36</v>
      </c>
      <c r="AA14">
        <f>IFERROR(SupplyChain4[[#This Row],[Revenue generated]]/SupplyChain4[[#This Row],[Number of products sold]],0)</f>
        <v>8.5528019226828604</v>
      </c>
      <c r="AB14">
        <f>IFERROR(SupplyChain4[[#This Row],[Shipping costs]]/SupplyChain4[[#This Row],[Number of products sold]],0)</f>
        <v>0.6875</v>
      </c>
      <c r="AC14">
        <f>SupplyChain4[[#This Row],[Supplier Lead time]]+SupplyChain4[[#This Row],[Shipping times]]+SupplyChain4[[#This Row],[Manufacturing lead time]]</f>
        <v>37</v>
      </c>
    </row>
    <row r="15" spans="1:29">
      <c r="A15" t="s">
        <v>31</v>
      </c>
      <c r="B15" t="s">
        <v>65</v>
      </c>
      <c r="C15">
        <v>16.160393317379977</v>
      </c>
      <c r="D15">
        <v>5</v>
      </c>
      <c r="E15">
        <v>249</v>
      </c>
      <c r="F15">
        <v>4052.7384162378667</v>
      </c>
      <c r="G15" t="s">
        <v>53</v>
      </c>
      <c r="H15">
        <v>80</v>
      </c>
      <c r="I15">
        <v>8</v>
      </c>
      <c r="J15">
        <v>48</v>
      </c>
      <c r="K15">
        <v>9</v>
      </c>
      <c r="L15" t="s">
        <v>34</v>
      </c>
      <c r="M15" s="13">
        <v>904</v>
      </c>
      <c r="N15" t="s">
        <v>42</v>
      </c>
      <c r="O15" t="s">
        <v>51</v>
      </c>
      <c r="P15">
        <v>173</v>
      </c>
      <c r="Q15">
        <v>10</v>
      </c>
      <c r="R15">
        <v>97.82905011017327</v>
      </c>
      <c r="S15" t="s">
        <v>28</v>
      </c>
      <c r="T15">
        <v>1.6310742300715386</v>
      </c>
      <c r="U15" t="s">
        <v>29</v>
      </c>
      <c r="V15" t="s">
        <v>30</v>
      </c>
      <c r="W15">
        <v>547.24100516096848</v>
      </c>
      <c r="X15">
        <f>SupplyChain4[[#This Row],[Costs]]+SupplyChain4[[#This Row],[Shipping costs]]+SupplyChain4[[#This Row],[Manufacturing costs]]</f>
        <v>1549.0700552711419</v>
      </c>
      <c r="Y15">
        <f>SupplyChain4[[#This Row],[Revenue generated]]-SupplyChain4[[#This Row],[Total Costs]]</f>
        <v>2503.6683609667248</v>
      </c>
      <c r="Z15">
        <f>IF(SupplyChain4[[#This Row],[Stock levels]]=0,"",SupplyChain4[[#This Row],[Number of products sold]]/SupplyChain4[[#This Row],[Stock levels]])</f>
        <v>3.1124999999999998</v>
      </c>
      <c r="AA15">
        <f>IFERROR(SupplyChain4[[#This Row],[Revenue generated]]/SupplyChain4[[#This Row],[Number of products sold]],0)</f>
        <v>16.276057896537615</v>
      </c>
      <c r="AB15">
        <f>IFERROR(SupplyChain4[[#This Row],[Shipping costs]]/SupplyChain4[[#This Row],[Number of products sold]],0)</f>
        <v>3.6305220883534135</v>
      </c>
      <c r="AC15">
        <f>SupplyChain4[[#This Row],[Supplier Lead time]]+SupplyChain4[[#This Row],[Shipping times]]+SupplyChain4[[#This Row],[Manufacturing lead time]]</f>
        <v>27</v>
      </c>
    </row>
    <row r="16" spans="1:29">
      <c r="A16" t="s">
        <v>31</v>
      </c>
      <c r="B16" t="s">
        <v>66</v>
      </c>
      <c r="C16">
        <v>99.171328638624189</v>
      </c>
      <c r="D16">
        <v>26</v>
      </c>
      <c r="E16">
        <v>562</v>
      </c>
      <c r="F16">
        <v>8653.5709264698016</v>
      </c>
      <c r="G16" t="s">
        <v>24</v>
      </c>
      <c r="H16">
        <v>54</v>
      </c>
      <c r="I16">
        <v>29</v>
      </c>
      <c r="J16">
        <v>78</v>
      </c>
      <c r="K16">
        <v>5</v>
      </c>
      <c r="L16" t="s">
        <v>25</v>
      </c>
      <c r="M16" s="13">
        <v>118</v>
      </c>
      <c r="N16" t="s">
        <v>37</v>
      </c>
      <c r="O16" t="s">
        <v>43</v>
      </c>
      <c r="P16">
        <v>558</v>
      </c>
      <c r="Q16">
        <v>14</v>
      </c>
      <c r="R16">
        <v>5.7914366298629893</v>
      </c>
      <c r="S16" t="s">
        <v>28</v>
      </c>
      <c r="T16">
        <v>0.10068285156509371</v>
      </c>
      <c r="U16" t="s">
        <v>38</v>
      </c>
      <c r="V16" t="s">
        <v>30</v>
      </c>
      <c r="W16">
        <v>929.23528996088965</v>
      </c>
      <c r="X16">
        <f>SupplyChain4[[#This Row],[Costs]]+SupplyChain4[[#This Row],[Shipping costs]]+SupplyChain4[[#This Row],[Manufacturing costs]]</f>
        <v>1053.0267265907526</v>
      </c>
      <c r="Y16">
        <f>SupplyChain4[[#This Row],[Revenue generated]]-SupplyChain4[[#This Row],[Total Costs]]</f>
        <v>7600.5441998790493</v>
      </c>
      <c r="Z16">
        <f>IF(SupplyChain4[[#This Row],[Stock levels]]=0,"",SupplyChain4[[#This Row],[Number of products sold]]/SupplyChain4[[#This Row],[Stock levels]])</f>
        <v>10.407407407407407</v>
      </c>
      <c r="AA16">
        <f>IFERROR(SupplyChain4[[#This Row],[Revenue generated]]/SupplyChain4[[#This Row],[Number of products sold]],0)</f>
        <v>15.397813036423134</v>
      </c>
      <c r="AB16">
        <f>IFERROR(SupplyChain4[[#This Row],[Shipping costs]]/SupplyChain4[[#This Row],[Number of products sold]],0)</f>
        <v>0.20996441281138789</v>
      </c>
      <c r="AC16">
        <f>SupplyChain4[[#This Row],[Supplier Lead time]]+SupplyChain4[[#This Row],[Shipping times]]+SupplyChain4[[#This Row],[Manufacturing lead time]]</f>
        <v>48</v>
      </c>
    </row>
    <row r="17" spans="1:29">
      <c r="A17" t="s">
        <v>31</v>
      </c>
      <c r="B17" t="s">
        <v>67</v>
      </c>
      <c r="C17">
        <v>36.98924492862691</v>
      </c>
      <c r="D17">
        <v>94</v>
      </c>
      <c r="E17">
        <v>469</v>
      </c>
      <c r="F17">
        <v>5442.0867853976733</v>
      </c>
      <c r="G17" t="s">
        <v>24</v>
      </c>
      <c r="H17">
        <v>9</v>
      </c>
      <c r="I17">
        <v>8</v>
      </c>
      <c r="J17">
        <v>69</v>
      </c>
      <c r="K17">
        <v>7</v>
      </c>
      <c r="L17" t="s">
        <v>25</v>
      </c>
      <c r="M17" s="13">
        <v>998</v>
      </c>
      <c r="N17" t="s">
        <v>37</v>
      </c>
      <c r="O17" t="s">
        <v>51</v>
      </c>
      <c r="P17">
        <v>580</v>
      </c>
      <c r="Q17">
        <v>7</v>
      </c>
      <c r="R17">
        <v>97.121281751474314</v>
      </c>
      <c r="S17" t="s">
        <v>62</v>
      </c>
      <c r="T17">
        <v>2.2644057611985491</v>
      </c>
      <c r="U17" t="s">
        <v>54</v>
      </c>
      <c r="V17" t="s">
        <v>30</v>
      </c>
      <c r="W17">
        <v>127.86180000162541</v>
      </c>
      <c r="X17">
        <f>SupplyChain4[[#This Row],[Costs]]+SupplyChain4[[#This Row],[Shipping costs]]+SupplyChain4[[#This Row],[Manufacturing costs]]</f>
        <v>1222.9830817530997</v>
      </c>
      <c r="Y17">
        <f>SupplyChain4[[#This Row],[Revenue generated]]-SupplyChain4[[#This Row],[Total Costs]]</f>
        <v>4219.1037036445741</v>
      </c>
      <c r="Z17">
        <f>IF(SupplyChain4[[#This Row],[Stock levels]]=0,"",SupplyChain4[[#This Row],[Number of products sold]]/SupplyChain4[[#This Row],[Stock levels]])</f>
        <v>52.111111111111114</v>
      </c>
      <c r="AA17">
        <f>IFERROR(SupplyChain4[[#This Row],[Revenue generated]]/SupplyChain4[[#This Row],[Number of products sold]],0)</f>
        <v>11.603596557351116</v>
      </c>
      <c r="AB17">
        <f>IFERROR(SupplyChain4[[#This Row],[Shipping costs]]/SupplyChain4[[#This Row],[Number of products sold]],0)</f>
        <v>2.1279317697228146</v>
      </c>
      <c r="AC17">
        <f>SupplyChain4[[#This Row],[Supplier Lead time]]+SupplyChain4[[#This Row],[Shipping times]]+SupplyChain4[[#This Row],[Manufacturing lead time]]</f>
        <v>22</v>
      </c>
    </row>
    <row r="18" spans="1:29">
      <c r="A18" t="s">
        <v>31</v>
      </c>
      <c r="B18" t="s">
        <v>68</v>
      </c>
      <c r="C18">
        <v>7.5471721097912718</v>
      </c>
      <c r="D18">
        <v>74</v>
      </c>
      <c r="E18">
        <v>280</v>
      </c>
      <c r="F18">
        <v>6453.7979681762854</v>
      </c>
      <c r="G18" t="s">
        <v>33</v>
      </c>
      <c r="H18">
        <v>2</v>
      </c>
      <c r="I18">
        <v>5</v>
      </c>
      <c r="J18">
        <v>78</v>
      </c>
      <c r="K18">
        <v>1</v>
      </c>
      <c r="L18" t="s">
        <v>25</v>
      </c>
      <c r="M18" s="13">
        <v>1193</v>
      </c>
      <c r="N18" t="s">
        <v>37</v>
      </c>
      <c r="O18" t="s">
        <v>51</v>
      </c>
      <c r="P18">
        <v>399</v>
      </c>
      <c r="Q18">
        <v>21</v>
      </c>
      <c r="R18">
        <v>77.106342497850008</v>
      </c>
      <c r="S18" t="s">
        <v>62</v>
      </c>
      <c r="T18">
        <v>1.0125630892580491</v>
      </c>
      <c r="U18" t="s">
        <v>38</v>
      </c>
      <c r="V18" t="s">
        <v>46</v>
      </c>
      <c r="W18">
        <v>865.52577977124031</v>
      </c>
      <c r="X18">
        <f>SupplyChain4[[#This Row],[Costs]]+SupplyChain4[[#This Row],[Shipping costs]]+SupplyChain4[[#This Row],[Manufacturing costs]]</f>
        <v>2135.6321222690904</v>
      </c>
      <c r="Y18">
        <f>SupplyChain4[[#This Row],[Revenue generated]]-SupplyChain4[[#This Row],[Total Costs]]</f>
        <v>4318.165845907195</v>
      </c>
      <c r="Z18">
        <f>IF(SupplyChain4[[#This Row],[Stock levels]]=0,"",SupplyChain4[[#This Row],[Number of products sold]]/SupplyChain4[[#This Row],[Stock levels]])</f>
        <v>140</v>
      </c>
      <c r="AA18">
        <f>IFERROR(SupplyChain4[[#This Row],[Revenue generated]]/SupplyChain4[[#This Row],[Number of products sold]],0)</f>
        <v>23.049278457772449</v>
      </c>
      <c r="AB18">
        <f>IFERROR(SupplyChain4[[#This Row],[Shipping costs]]/SupplyChain4[[#This Row],[Number of products sold]],0)</f>
        <v>4.2607142857142861</v>
      </c>
      <c r="AC18">
        <f>SupplyChain4[[#This Row],[Supplier Lead time]]+SupplyChain4[[#This Row],[Shipping times]]+SupplyChain4[[#This Row],[Manufacturing lead time]]</f>
        <v>27</v>
      </c>
    </row>
    <row r="19" spans="1:29">
      <c r="A19" t="s">
        <v>55</v>
      </c>
      <c r="B19" t="s">
        <v>69</v>
      </c>
      <c r="C19">
        <v>81.462534369237019</v>
      </c>
      <c r="D19">
        <v>82</v>
      </c>
      <c r="E19">
        <v>126</v>
      </c>
      <c r="F19">
        <v>2629.3964348452619</v>
      </c>
      <c r="G19" t="s">
        <v>33</v>
      </c>
      <c r="H19">
        <v>45</v>
      </c>
      <c r="I19">
        <v>17</v>
      </c>
      <c r="J19">
        <v>85</v>
      </c>
      <c r="K19">
        <v>9</v>
      </c>
      <c r="L19" t="s">
        <v>41</v>
      </c>
      <c r="M19" s="13">
        <v>461</v>
      </c>
      <c r="N19" t="s">
        <v>37</v>
      </c>
      <c r="O19" t="s">
        <v>60</v>
      </c>
      <c r="P19">
        <v>453</v>
      </c>
      <c r="Q19">
        <v>16</v>
      </c>
      <c r="R19">
        <v>47.679680368355335</v>
      </c>
      <c r="S19" t="s">
        <v>44</v>
      </c>
      <c r="T19">
        <v>0.10202075491817619</v>
      </c>
      <c r="U19" t="s">
        <v>38</v>
      </c>
      <c r="V19" t="s">
        <v>39</v>
      </c>
      <c r="W19">
        <v>670.93439079241034</v>
      </c>
      <c r="X19">
        <f>SupplyChain4[[#This Row],[Costs]]+SupplyChain4[[#This Row],[Shipping costs]]+SupplyChain4[[#This Row],[Manufacturing costs]]</f>
        <v>1179.6140711607657</v>
      </c>
      <c r="Y19">
        <f>SupplyChain4[[#This Row],[Revenue generated]]-SupplyChain4[[#This Row],[Total Costs]]</f>
        <v>1449.7823636844962</v>
      </c>
      <c r="Z19">
        <f>IF(SupplyChain4[[#This Row],[Stock levels]]=0,"",SupplyChain4[[#This Row],[Number of products sold]]/SupplyChain4[[#This Row],[Stock levels]])</f>
        <v>2.8</v>
      </c>
      <c r="AA19">
        <f>IFERROR(SupplyChain4[[#This Row],[Revenue generated]]/SupplyChain4[[#This Row],[Number of products sold]],0)</f>
        <v>20.868225673375093</v>
      </c>
      <c r="AB19">
        <f>IFERROR(SupplyChain4[[#This Row],[Shipping costs]]/SupplyChain4[[#This Row],[Number of products sold]],0)</f>
        <v>3.6587301587301586</v>
      </c>
      <c r="AC19">
        <f>SupplyChain4[[#This Row],[Supplier Lead time]]+SupplyChain4[[#This Row],[Shipping times]]+SupplyChain4[[#This Row],[Manufacturing lead time]]</f>
        <v>42</v>
      </c>
    </row>
    <row r="20" spans="1:29">
      <c r="A20" t="s">
        <v>22</v>
      </c>
      <c r="B20" t="s">
        <v>70</v>
      </c>
      <c r="C20">
        <v>36.443627770460935</v>
      </c>
      <c r="D20">
        <v>23</v>
      </c>
      <c r="E20">
        <v>620</v>
      </c>
      <c r="F20">
        <v>9364.6735050761727</v>
      </c>
      <c r="G20" t="s">
        <v>36</v>
      </c>
      <c r="H20">
        <v>10</v>
      </c>
      <c r="I20">
        <v>10</v>
      </c>
      <c r="J20">
        <v>46</v>
      </c>
      <c r="K20">
        <v>8</v>
      </c>
      <c r="L20" t="s">
        <v>41</v>
      </c>
      <c r="M20" s="13">
        <v>310</v>
      </c>
      <c r="N20" t="s">
        <v>59</v>
      </c>
      <c r="O20" t="s">
        <v>43</v>
      </c>
      <c r="P20">
        <v>374</v>
      </c>
      <c r="Q20">
        <v>17</v>
      </c>
      <c r="R20">
        <v>27.10798085484392</v>
      </c>
      <c r="S20" t="s">
        <v>28</v>
      </c>
      <c r="T20">
        <v>2.2319391107292637</v>
      </c>
      <c r="U20" t="s">
        <v>54</v>
      </c>
      <c r="V20" t="s">
        <v>46</v>
      </c>
      <c r="W20">
        <v>593.48025872065182</v>
      </c>
      <c r="X20">
        <f>SupplyChain4[[#This Row],[Costs]]+SupplyChain4[[#This Row],[Shipping costs]]+SupplyChain4[[#This Row],[Manufacturing costs]]</f>
        <v>930.58823957549578</v>
      </c>
      <c r="Y20">
        <f>SupplyChain4[[#This Row],[Revenue generated]]-SupplyChain4[[#This Row],[Total Costs]]</f>
        <v>8434.0852655006765</v>
      </c>
      <c r="Z20">
        <f>IF(SupplyChain4[[#This Row],[Stock levels]]=0,"",SupplyChain4[[#This Row],[Number of products sold]]/SupplyChain4[[#This Row],[Stock levels]])</f>
        <v>62</v>
      </c>
      <c r="AA20">
        <f>IFERROR(SupplyChain4[[#This Row],[Revenue generated]]/SupplyChain4[[#This Row],[Number of products sold]],0)</f>
        <v>15.104312104961569</v>
      </c>
      <c r="AB20">
        <f>IFERROR(SupplyChain4[[#This Row],[Shipping costs]]/SupplyChain4[[#This Row],[Number of products sold]],0)</f>
        <v>0.5</v>
      </c>
      <c r="AC20">
        <f>SupplyChain4[[#This Row],[Supplier Lead time]]+SupplyChain4[[#This Row],[Shipping times]]+SupplyChain4[[#This Row],[Manufacturing lead time]]</f>
        <v>35</v>
      </c>
    </row>
    <row r="21" spans="1:29">
      <c r="A21" t="s">
        <v>31</v>
      </c>
      <c r="B21" t="s">
        <v>71</v>
      </c>
      <c r="C21">
        <v>51.12387008796474</v>
      </c>
      <c r="D21">
        <v>100</v>
      </c>
      <c r="E21">
        <v>187</v>
      </c>
      <c r="F21">
        <v>2553.4955849912149</v>
      </c>
      <c r="G21" t="s">
        <v>36</v>
      </c>
      <c r="H21">
        <v>48</v>
      </c>
      <c r="I21">
        <v>11</v>
      </c>
      <c r="J21">
        <v>94</v>
      </c>
      <c r="K21">
        <v>3</v>
      </c>
      <c r="L21" t="s">
        <v>34</v>
      </c>
      <c r="M21" s="13">
        <v>869</v>
      </c>
      <c r="N21" t="s">
        <v>50</v>
      </c>
      <c r="O21" t="s">
        <v>60</v>
      </c>
      <c r="P21">
        <v>694</v>
      </c>
      <c r="Q21">
        <v>16</v>
      </c>
      <c r="R21">
        <v>82.373320587990207</v>
      </c>
      <c r="S21" t="s">
        <v>44</v>
      </c>
      <c r="T21">
        <v>3.6464508654170293</v>
      </c>
      <c r="U21" t="s">
        <v>29</v>
      </c>
      <c r="V21" t="s">
        <v>39</v>
      </c>
      <c r="W21">
        <v>477.30763109090344</v>
      </c>
      <c r="X21">
        <f>SupplyChain4[[#This Row],[Costs]]+SupplyChain4[[#This Row],[Shipping costs]]+SupplyChain4[[#This Row],[Manufacturing costs]]</f>
        <v>1428.6809516788937</v>
      </c>
      <c r="Y21">
        <f>SupplyChain4[[#This Row],[Revenue generated]]-SupplyChain4[[#This Row],[Total Costs]]</f>
        <v>1124.8146333123211</v>
      </c>
      <c r="Z21">
        <f>IF(SupplyChain4[[#This Row],[Stock levels]]=0,"",SupplyChain4[[#This Row],[Number of products sold]]/SupplyChain4[[#This Row],[Stock levels]])</f>
        <v>3.8958333333333335</v>
      </c>
      <c r="AA21">
        <f>IFERROR(SupplyChain4[[#This Row],[Revenue generated]]/SupplyChain4[[#This Row],[Number of products sold]],0)</f>
        <v>13.655056604231095</v>
      </c>
      <c r="AB21">
        <f>IFERROR(SupplyChain4[[#This Row],[Shipping costs]]/SupplyChain4[[#This Row],[Number of products sold]],0)</f>
        <v>4.6470588235294121</v>
      </c>
      <c r="AC21">
        <f>SupplyChain4[[#This Row],[Supplier Lead time]]+SupplyChain4[[#This Row],[Shipping times]]+SupplyChain4[[#This Row],[Manufacturing lead time]]</f>
        <v>30</v>
      </c>
    </row>
    <row r="22" spans="1:29">
      <c r="A22" t="s">
        <v>31</v>
      </c>
      <c r="B22" t="s">
        <v>72</v>
      </c>
      <c r="C22">
        <v>96.341072439963384</v>
      </c>
      <c r="D22">
        <v>22</v>
      </c>
      <c r="E22">
        <v>320</v>
      </c>
      <c r="F22">
        <v>8128.0276968511916</v>
      </c>
      <c r="G22" t="s">
        <v>36</v>
      </c>
      <c r="H22">
        <v>27</v>
      </c>
      <c r="I22">
        <v>12</v>
      </c>
      <c r="J22">
        <v>68</v>
      </c>
      <c r="K22">
        <v>6</v>
      </c>
      <c r="L22" t="s">
        <v>34</v>
      </c>
      <c r="M22" s="13">
        <v>802</v>
      </c>
      <c r="N22" t="s">
        <v>37</v>
      </c>
      <c r="O22" t="s">
        <v>60</v>
      </c>
      <c r="P22">
        <v>309</v>
      </c>
      <c r="Q22">
        <v>6</v>
      </c>
      <c r="R22">
        <v>65.686259608488626</v>
      </c>
      <c r="S22" t="s">
        <v>62</v>
      </c>
      <c r="T22">
        <v>4.2314165735345393</v>
      </c>
      <c r="U22" t="s">
        <v>38</v>
      </c>
      <c r="V22" t="s">
        <v>30</v>
      </c>
      <c r="W22">
        <v>493.87121531620585</v>
      </c>
      <c r="X22">
        <f>SupplyChain4[[#This Row],[Costs]]+SupplyChain4[[#This Row],[Shipping costs]]+SupplyChain4[[#This Row],[Manufacturing costs]]</f>
        <v>1361.5574749246946</v>
      </c>
      <c r="Y22">
        <f>SupplyChain4[[#This Row],[Revenue generated]]-SupplyChain4[[#This Row],[Total Costs]]</f>
        <v>6766.4702219264973</v>
      </c>
      <c r="Z22">
        <f>IF(SupplyChain4[[#This Row],[Stock levels]]=0,"",SupplyChain4[[#This Row],[Number of products sold]]/SupplyChain4[[#This Row],[Stock levels]])</f>
        <v>11.851851851851851</v>
      </c>
      <c r="AA22">
        <f>IFERROR(SupplyChain4[[#This Row],[Revenue generated]]/SupplyChain4[[#This Row],[Number of products sold]],0)</f>
        <v>25.400086552659975</v>
      </c>
      <c r="AB22">
        <f>IFERROR(SupplyChain4[[#This Row],[Shipping costs]]/SupplyChain4[[#This Row],[Number of products sold]],0)</f>
        <v>2.5062500000000001</v>
      </c>
      <c r="AC22">
        <f>SupplyChain4[[#This Row],[Supplier Lead time]]+SupplyChain4[[#This Row],[Shipping times]]+SupplyChain4[[#This Row],[Manufacturing lead time]]</f>
        <v>24</v>
      </c>
    </row>
    <row r="23" spans="1:29">
      <c r="A23" t="s">
        <v>55</v>
      </c>
      <c r="B23" t="s">
        <v>73</v>
      </c>
      <c r="C23">
        <v>84.893868984950828</v>
      </c>
      <c r="D23">
        <v>60</v>
      </c>
      <c r="E23">
        <v>601</v>
      </c>
      <c r="F23">
        <v>7087.0526963574366</v>
      </c>
      <c r="G23" t="s">
        <v>36</v>
      </c>
      <c r="H23">
        <v>69</v>
      </c>
      <c r="I23">
        <v>25</v>
      </c>
      <c r="J23">
        <v>7</v>
      </c>
      <c r="K23">
        <v>6</v>
      </c>
      <c r="L23" t="s">
        <v>25</v>
      </c>
      <c r="M23" s="13">
        <v>257</v>
      </c>
      <c r="N23" t="s">
        <v>42</v>
      </c>
      <c r="O23" t="s">
        <v>60</v>
      </c>
      <c r="P23">
        <v>791</v>
      </c>
      <c r="Q23">
        <v>4</v>
      </c>
      <c r="R23">
        <v>61.735728954160933</v>
      </c>
      <c r="S23" t="s">
        <v>28</v>
      </c>
      <c r="T23">
        <v>1.8607567631014899E-2</v>
      </c>
      <c r="U23" t="s">
        <v>38</v>
      </c>
      <c r="V23" t="s">
        <v>39</v>
      </c>
      <c r="W23">
        <v>523.36091472015801</v>
      </c>
      <c r="X23">
        <f>SupplyChain4[[#This Row],[Costs]]+SupplyChain4[[#This Row],[Shipping costs]]+SupplyChain4[[#This Row],[Manufacturing costs]]</f>
        <v>842.0966436743189</v>
      </c>
      <c r="Y23">
        <f>SupplyChain4[[#This Row],[Revenue generated]]-SupplyChain4[[#This Row],[Total Costs]]</f>
        <v>6244.9560526831174</v>
      </c>
      <c r="Z23">
        <f>IF(SupplyChain4[[#This Row],[Stock levels]]=0,"",SupplyChain4[[#This Row],[Number of products sold]]/SupplyChain4[[#This Row],[Stock levels]])</f>
        <v>8.7101449275362324</v>
      </c>
      <c r="AA23">
        <f>IFERROR(SupplyChain4[[#This Row],[Revenue generated]]/SupplyChain4[[#This Row],[Number of products sold]],0)</f>
        <v>11.79210099227527</v>
      </c>
      <c r="AB23">
        <f>IFERROR(SupplyChain4[[#This Row],[Shipping costs]]/SupplyChain4[[#This Row],[Number of products sold]],0)</f>
        <v>0.42762063227953412</v>
      </c>
      <c r="AC23">
        <f>SupplyChain4[[#This Row],[Supplier Lead time]]+SupplyChain4[[#This Row],[Shipping times]]+SupplyChain4[[#This Row],[Manufacturing lead time]]</f>
        <v>35</v>
      </c>
    </row>
    <row r="24" spans="1:29">
      <c r="A24" t="s">
        <v>22</v>
      </c>
      <c r="B24" t="s">
        <v>74</v>
      </c>
      <c r="C24">
        <v>27.679780886501959</v>
      </c>
      <c r="D24">
        <v>55</v>
      </c>
      <c r="E24">
        <v>884</v>
      </c>
      <c r="F24">
        <v>2390.8078665561734</v>
      </c>
      <c r="G24" t="s">
        <v>36</v>
      </c>
      <c r="H24">
        <v>71</v>
      </c>
      <c r="I24">
        <v>1</v>
      </c>
      <c r="J24">
        <v>63</v>
      </c>
      <c r="K24">
        <v>10</v>
      </c>
      <c r="L24" t="s">
        <v>34</v>
      </c>
      <c r="M24" s="13">
        <v>190</v>
      </c>
      <c r="N24" t="s">
        <v>50</v>
      </c>
      <c r="O24" t="s">
        <v>43</v>
      </c>
      <c r="P24">
        <v>780</v>
      </c>
      <c r="Q24">
        <v>28</v>
      </c>
      <c r="R24">
        <v>50.120839612977349</v>
      </c>
      <c r="S24" t="s">
        <v>44</v>
      </c>
      <c r="T24">
        <v>2.5912754732111161</v>
      </c>
      <c r="U24" t="s">
        <v>45</v>
      </c>
      <c r="V24" t="s">
        <v>39</v>
      </c>
      <c r="W24">
        <v>205.57199582694707</v>
      </c>
      <c r="X24">
        <f>SupplyChain4[[#This Row],[Costs]]+SupplyChain4[[#This Row],[Shipping costs]]+SupplyChain4[[#This Row],[Manufacturing costs]]</f>
        <v>445.69283543992441</v>
      </c>
      <c r="Y24">
        <f>SupplyChain4[[#This Row],[Revenue generated]]-SupplyChain4[[#This Row],[Total Costs]]</f>
        <v>1945.1150311162489</v>
      </c>
      <c r="Z24">
        <f>IF(SupplyChain4[[#This Row],[Stock levels]]=0,"",SupplyChain4[[#This Row],[Number of products sold]]/SupplyChain4[[#This Row],[Stock levels]])</f>
        <v>12.450704225352112</v>
      </c>
      <c r="AA24">
        <f>IFERROR(SupplyChain4[[#This Row],[Revenue generated]]/SupplyChain4[[#This Row],[Number of products sold]],0)</f>
        <v>2.7045337856970288</v>
      </c>
      <c r="AB24">
        <f>IFERROR(SupplyChain4[[#This Row],[Shipping costs]]/SupplyChain4[[#This Row],[Number of products sold]],0)</f>
        <v>0.21493212669683259</v>
      </c>
      <c r="AC24">
        <f>SupplyChain4[[#This Row],[Supplier Lead time]]+SupplyChain4[[#This Row],[Shipping times]]+SupplyChain4[[#This Row],[Manufacturing lead time]]</f>
        <v>39</v>
      </c>
    </row>
    <row r="25" spans="1:29">
      <c r="A25" t="s">
        <v>55</v>
      </c>
      <c r="B25" t="s">
        <v>75</v>
      </c>
      <c r="C25">
        <v>4.3243411858641636</v>
      </c>
      <c r="D25">
        <v>30</v>
      </c>
      <c r="E25">
        <v>391</v>
      </c>
      <c r="F25">
        <v>8858.367571011484</v>
      </c>
      <c r="G25" t="s">
        <v>36</v>
      </c>
      <c r="H25">
        <v>84</v>
      </c>
      <c r="I25">
        <v>5</v>
      </c>
      <c r="J25">
        <v>29</v>
      </c>
      <c r="K25">
        <v>7</v>
      </c>
      <c r="L25" t="s">
        <v>34</v>
      </c>
      <c r="M25" s="13">
        <v>959</v>
      </c>
      <c r="N25" t="s">
        <v>42</v>
      </c>
      <c r="O25" t="s">
        <v>43</v>
      </c>
      <c r="P25">
        <v>568</v>
      </c>
      <c r="Q25">
        <v>29</v>
      </c>
      <c r="R25">
        <v>98.609957242703871</v>
      </c>
      <c r="S25" t="s">
        <v>28</v>
      </c>
      <c r="T25">
        <v>1.3422915627227339</v>
      </c>
      <c r="U25" t="s">
        <v>45</v>
      </c>
      <c r="V25" t="s">
        <v>46</v>
      </c>
      <c r="W25">
        <v>196.32944611241268</v>
      </c>
      <c r="X25">
        <f>SupplyChain4[[#This Row],[Costs]]+SupplyChain4[[#This Row],[Shipping costs]]+SupplyChain4[[#This Row],[Manufacturing costs]]</f>
        <v>1253.9394033551164</v>
      </c>
      <c r="Y25">
        <f>SupplyChain4[[#This Row],[Revenue generated]]-SupplyChain4[[#This Row],[Total Costs]]</f>
        <v>7604.4281676563678</v>
      </c>
      <c r="Z25">
        <f>IF(SupplyChain4[[#This Row],[Stock levels]]=0,"",SupplyChain4[[#This Row],[Number of products sold]]/SupplyChain4[[#This Row],[Stock levels]])</f>
        <v>4.6547619047619051</v>
      </c>
      <c r="AA25">
        <f>IFERROR(SupplyChain4[[#This Row],[Revenue generated]]/SupplyChain4[[#This Row],[Number of products sold]],0)</f>
        <v>22.655671537113768</v>
      </c>
      <c r="AB25">
        <f>IFERROR(SupplyChain4[[#This Row],[Shipping costs]]/SupplyChain4[[#This Row],[Number of products sold]],0)</f>
        <v>2.452685421994885</v>
      </c>
      <c r="AC25">
        <f>SupplyChain4[[#This Row],[Supplier Lead time]]+SupplyChain4[[#This Row],[Shipping times]]+SupplyChain4[[#This Row],[Manufacturing lead time]]</f>
        <v>41</v>
      </c>
    </row>
    <row r="26" spans="1:29">
      <c r="A26" t="s">
        <v>22</v>
      </c>
      <c r="B26" t="s">
        <v>76</v>
      </c>
      <c r="C26">
        <v>4.1563083593111081</v>
      </c>
      <c r="D26">
        <v>32</v>
      </c>
      <c r="E26">
        <v>209</v>
      </c>
      <c r="F26">
        <v>9049.0778609398967</v>
      </c>
      <c r="G26" t="s">
        <v>53</v>
      </c>
      <c r="H26">
        <v>4</v>
      </c>
      <c r="I26">
        <v>26</v>
      </c>
      <c r="J26">
        <v>2</v>
      </c>
      <c r="K26">
        <v>8</v>
      </c>
      <c r="L26" t="s">
        <v>41</v>
      </c>
      <c r="M26" s="13">
        <v>407</v>
      </c>
      <c r="N26" t="s">
        <v>59</v>
      </c>
      <c r="O26" t="s">
        <v>51</v>
      </c>
      <c r="P26">
        <v>447</v>
      </c>
      <c r="Q26">
        <v>3</v>
      </c>
      <c r="R26">
        <v>40.382359702924816</v>
      </c>
      <c r="S26" t="s">
        <v>28</v>
      </c>
      <c r="T26">
        <v>3.691310292628728</v>
      </c>
      <c r="U26" t="s">
        <v>38</v>
      </c>
      <c r="V26" t="s">
        <v>46</v>
      </c>
      <c r="W26">
        <v>758.72477260293829</v>
      </c>
      <c r="X26">
        <f>SupplyChain4[[#This Row],[Costs]]+SupplyChain4[[#This Row],[Shipping costs]]+SupplyChain4[[#This Row],[Manufacturing costs]]</f>
        <v>1206.1071323058629</v>
      </c>
      <c r="Y26">
        <f>SupplyChain4[[#This Row],[Revenue generated]]-SupplyChain4[[#This Row],[Total Costs]]</f>
        <v>7842.9707286340335</v>
      </c>
      <c r="Z26">
        <f>IF(SupplyChain4[[#This Row],[Stock levels]]=0,"",SupplyChain4[[#This Row],[Number of products sold]]/SupplyChain4[[#This Row],[Stock levels]])</f>
        <v>52.25</v>
      </c>
      <c r="AA26">
        <f>IFERROR(SupplyChain4[[#This Row],[Revenue generated]]/SupplyChain4[[#This Row],[Number of products sold]],0)</f>
        <v>43.29702325808563</v>
      </c>
      <c r="AB26">
        <f>IFERROR(SupplyChain4[[#This Row],[Shipping costs]]/SupplyChain4[[#This Row],[Number of products sold]],0)</f>
        <v>1.9473684210526316</v>
      </c>
      <c r="AC26">
        <f>SupplyChain4[[#This Row],[Supplier Lead time]]+SupplyChain4[[#This Row],[Shipping times]]+SupplyChain4[[#This Row],[Manufacturing lead time]]</f>
        <v>37</v>
      </c>
    </row>
    <row r="27" spans="1:29">
      <c r="A27" t="s">
        <v>22</v>
      </c>
      <c r="B27" t="s">
        <v>77</v>
      </c>
      <c r="C27">
        <v>39.629343985092625</v>
      </c>
      <c r="D27">
        <v>73</v>
      </c>
      <c r="E27">
        <v>142</v>
      </c>
      <c r="F27">
        <v>2174.777054350654</v>
      </c>
      <c r="G27" t="s">
        <v>53</v>
      </c>
      <c r="H27">
        <v>82</v>
      </c>
      <c r="I27">
        <v>11</v>
      </c>
      <c r="J27">
        <v>52</v>
      </c>
      <c r="K27">
        <v>3</v>
      </c>
      <c r="L27" t="s">
        <v>41</v>
      </c>
      <c r="M27" s="13">
        <v>852</v>
      </c>
      <c r="N27" t="s">
        <v>50</v>
      </c>
      <c r="O27" t="s">
        <v>43</v>
      </c>
      <c r="P27">
        <v>934</v>
      </c>
      <c r="Q27">
        <v>23</v>
      </c>
      <c r="R27">
        <v>78.280383118415386</v>
      </c>
      <c r="S27" t="s">
        <v>28</v>
      </c>
      <c r="T27">
        <v>3.7972312171141831</v>
      </c>
      <c r="U27" t="s">
        <v>29</v>
      </c>
      <c r="V27" t="s">
        <v>30</v>
      </c>
      <c r="W27">
        <v>458.53594573920907</v>
      </c>
      <c r="X27">
        <f>SupplyChain4[[#This Row],[Costs]]+SupplyChain4[[#This Row],[Shipping costs]]+SupplyChain4[[#This Row],[Manufacturing costs]]</f>
        <v>1388.8163288576245</v>
      </c>
      <c r="Y27">
        <f>SupplyChain4[[#This Row],[Revenue generated]]-SupplyChain4[[#This Row],[Total Costs]]</f>
        <v>785.96072549302949</v>
      </c>
      <c r="Z27">
        <f>IF(SupplyChain4[[#This Row],[Stock levels]]=0,"",SupplyChain4[[#This Row],[Number of products sold]]/SupplyChain4[[#This Row],[Stock levels]])</f>
        <v>1.7317073170731707</v>
      </c>
      <c r="AA27">
        <f>IFERROR(SupplyChain4[[#This Row],[Revenue generated]]/SupplyChain4[[#This Row],[Number of products sold]],0)</f>
        <v>15.315331368666577</v>
      </c>
      <c r="AB27">
        <f>IFERROR(SupplyChain4[[#This Row],[Shipping costs]]/SupplyChain4[[#This Row],[Number of products sold]],0)</f>
        <v>6</v>
      </c>
      <c r="AC27">
        <f>SupplyChain4[[#This Row],[Supplier Lead time]]+SupplyChain4[[#This Row],[Shipping times]]+SupplyChain4[[#This Row],[Manufacturing lead time]]</f>
        <v>37</v>
      </c>
    </row>
    <row r="28" spans="1:29">
      <c r="A28" t="s">
        <v>22</v>
      </c>
      <c r="B28" t="s">
        <v>78</v>
      </c>
      <c r="C28">
        <v>97.44694661789282</v>
      </c>
      <c r="D28">
        <v>9</v>
      </c>
      <c r="E28">
        <v>353</v>
      </c>
      <c r="F28">
        <v>3716.4933258940368</v>
      </c>
      <c r="G28" t="s">
        <v>53</v>
      </c>
      <c r="H28">
        <v>59</v>
      </c>
      <c r="I28">
        <v>16</v>
      </c>
      <c r="J28">
        <v>48</v>
      </c>
      <c r="K28">
        <v>4</v>
      </c>
      <c r="L28" t="s">
        <v>25</v>
      </c>
      <c r="M28" s="13">
        <v>321</v>
      </c>
      <c r="N28" t="s">
        <v>59</v>
      </c>
      <c r="O28" t="s">
        <v>51</v>
      </c>
      <c r="P28">
        <v>171</v>
      </c>
      <c r="Q28">
        <v>4</v>
      </c>
      <c r="R28">
        <v>15.972229757181761</v>
      </c>
      <c r="S28" t="s">
        <v>62</v>
      </c>
      <c r="T28">
        <v>2.1193197367249228</v>
      </c>
      <c r="U28" t="s">
        <v>45</v>
      </c>
      <c r="V28" t="s">
        <v>46</v>
      </c>
      <c r="W28">
        <v>617.8669164583772</v>
      </c>
      <c r="X28">
        <f>SupplyChain4[[#This Row],[Costs]]+SupplyChain4[[#This Row],[Shipping costs]]+SupplyChain4[[#This Row],[Manufacturing costs]]</f>
        <v>954.83914621555891</v>
      </c>
      <c r="Y28">
        <f>SupplyChain4[[#This Row],[Revenue generated]]-SupplyChain4[[#This Row],[Total Costs]]</f>
        <v>2761.6541796784777</v>
      </c>
      <c r="Z28">
        <f>IF(SupplyChain4[[#This Row],[Stock levels]]=0,"",SupplyChain4[[#This Row],[Number of products sold]]/SupplyChain4[[#This Row],[Stock levels]])</f>
        <v>5.9830508474576272</v>
      </c>
      <c r="AA28">
        <f>IFERROR(SupplyChain4[[#This Row],[Revenue generated]]/SupplyChain4[[#This Row],[Number of products sold]],0)</f>
        <v>10.528309705082258</v>
      </c>
      <c r="AB28">
        <f>IFERROR(SupplyChain4[[#This Row],[Shipping costs]]/SupplyChain4[[#This Row],[Number of products sold]],0)</f>
        <v>0.90934844192634556</v>
      </c>
      <c r="AC28">
        <f>SupplyChain4[[#This Row],[Supplier Lead time]]+SupplyChain4[[#This Row],[Shipping times]]+SupplyChain4[[#This Row],[Manufacturing lead time]]</f>
        <v>24</v>
      </c>
    </row>
    <row r="29" spans="1:29">
      <c r="A29" t="s">
        <v>55</v>
      </c>
      <c r="B29" t="s">
        <v>79</v>
      </c>
      <c r="C29">
        <v>92.557360812402024</v>
      </c>
      <c r="D29">
        <v>42</v>
      </c>
      <c r="E29">
        <v>352</v>
      </c>
      <c r="F29">
        <v>2686.4572235759833</v>
      </c>
      <c r="G29" t="s">
        <v>36</v>
      </c>
      <c r="H29">
        <v>47</v>
      </c>
      <c r="I29">
        <v>9</v>
      </c>
      <c r="J29">
        <v>62</v>
      </c>
      <c r="K29">
        <v>8</v>
      </c>
      <c r="L29" t="s">
        <v>41</v>
      </c>
      <c r="M29" s="13">
        <v>141</v>
      </c>
      <c r="N29" t="s">
        <v>42</v>
      </c>
      <c r="O29" t="s">
        <v>27</v>
      </c>
      <c r="P29">
        <v>291</v>
      </c>
      <c r="Q29">
        <v>4</v>
      </c>
      <c r="R29">
        <v>10.528245070042162</v>
      </c>
      <c r="S29" t="s">
        <v>44</v>
      </c>
      <c r="T29">
        <v>2.8646678378833732</v>
      </c>
      <c r="U29" t="s">
        <v>54</v>
      </c>
      <c r="V29" t="s">
        <v>30</v>
      </c>
      <c r="W29">
        <v>762.45918215568372</v>
      </c>
      <c r="X29">
        <f>SupplyChain4[[#This Row],[Costs]]+SupplyChain4[[#This Row],[Shipping costs]]+SupplyChain4[[#This Row],[Manufacturing costs]]</f>
        <v>913.98742722572592</v>
      </c>
      <c r="Y29">
        <f>SupplyChain4[[#This Row],[Revenue generated]]-SupplyChain4[[#This Row],[Total Costs]]</f>
        <v>1772.4697963502574</v>
      </c>
      <c r="Z29">
        <f>IF(SupplyChain4[[#This Row],[Stock levels]]=0,"",SupplyChain4[[#This Row],[Number of products sold]]/SupplyChain4[[#This Row],[Stock levels]])</f>
        <v>7.4893617021276597</v>
      </c>
      <c r="AA29">
        <f>IFERROR(SupplyChain4[[#This Row],[Revenue generated]]/SupplyChain4[[#This Row],[Number of products sold]],0)</f>
        <v>7.6319807487954074</v>
      </c>
      <c r="AB29">
        <f>IFERROR(SupplyChain4[[#This Row],[Shipping costs]]/SupplyChain4[[#This Row],[Number of products sold]],0)</f>
        <v>0.40056818181818182</v>
      </c>
      <c r="AC29">
        <f>SupplyChain4[[#This Row],[Supplier Lead time]]+SupplyChain4[[#This Row],[Shipping times]]+SupplyChain4[[#This Row],[Manufacturing lead time]]</f>
        <v>21</v>
      </c>
    </row>
    <row r="30" spans="1:29">
      <c r="A30" t="s">
        <v>55</v>
      </c>
      <c r="B30" t="s">
        <v>80</v>
      </c>
      <c r="C30">
        <v>2.3972747055971411</v>
      </c>
      <c r="D30">
        <v>12</v>
      </c>
      <c r="E30">
        <v>394</v>
      </c>
      <c r="F30">
        <v>6117.3246150839923</v>
      </c>
      <c r="G30" t="s">
        <v>33</v>
      </c>
      <c r="H30">
        <v>48</v>
      </c>
      <c r="I30">
        <v>15</v>
      </c>
      <c r="J30">
        <v>24</v>
      </c>
      <c r="K30">
        <v>4</v>
      </c>
      <c r="L30" t="s">
        <v>25</v>
      </c>
      <c r="M30" s="13">
        <v>598</v>
      </c>
      <c r="N30" t="s">
        <v>37</v>
      </c>
      <c r="O30" t="s">
        <v>27</v>
      </c>
      <c r="P30">
        <v>171</v>
      </c>
      <c r="Q30">
        <v>7</v>
      </c>
      <c r="R30">
        <v>59.429381810691567</v>
      </c>
      <c r="S30" t="s">
        <v>44</v>
      </c>
      <c r="T30">
        <v>0.81575707929567198</v>
      </c>
      <c r="U30" t="s">
        <v>38</v>
      </c>
      <c r="V30" t="s">
        <v>46</v>
      </c>
      <c r="W30">
        <v>123.43702751182708</v>
      </c>
      <c r="X30">
        <f>SupplyChain4[[#This Row],[Costs]]+SupplyChain4[[#This Row],[Shipping costs]]+SupplyChain4[[#This Row],[Manufacturing costs]]</f>
        <v>780.86640932251862</v>
      </c>
      <c r="Y30">
        <f>SupplyChain4[[#This Row],[Revenue generated]]-SupplyChain4[[#This Row],[Total Costs]]</f>
        <v>5336.4582057614734</v>
      </c>
      <c r="Z30">
        <f>IF(SupplyChain4[[#This Row],[Stock levels]]=0,"",SupplyChain4[[#This Row],[Number of products sold]]/SupplyChain4[[#This Row],[Stock levels]])</f>
        <v>8.2083333333333339</v>
      </c>
      <c r="AA30">
        <f>IFERROR(SupplyChain4[[#This Row],[Revenue generated]]/SupplyChain4[[#This Row],[Number of products sold]],0)</f>
        <v>15.526204606812163</v>
      </c>
      <c r="AB30">
        <f>IFERROR(SupplyChain4[[#This Row],[Shipping costs]]/SupplyChain4[[#This Row],[Number of products sold]],0)</f>
        <v>1.5177664974619289</v>
      </c>
      <c r="AC30">
        <f>SupplyChain4[[#This Row],[Supplier Lead time]]+SupplyChain4[[#This Row],[Shipping times]]+SupplyChain4[[#This Row],[Manufacturing lead time]]</f>
        <v>26</v>
      </c>
    </row>
    <row r="31" spans="1:29">
      <c r="A31" t="s">
        <v>55</v>
      </c>
      <c r="B31" t="s">
        <v>81</v>
      </c>
      <c r="C31">
        <v>63.447559185207332</v>
      </c>
      <c r="D31">
        <v>3</v>
      </c>
      <c r="E31">
        <v>253</v>
      </c>
      <c r="F31">
        <v>8318.9031946171781</v>
      </c>
      <c r="G31" t="s">
        <v>33</v>
      </c>
      <c r="H31">
        <v>45</v>
      </c>
      <c r="I31">
        <v>5</v>
      </c>
      <c r="J31">
        <v>67</v>
      </c>
      <c r="K31">
        <v>7</v>
      </c>
      <c r="L31" t="s">
        <v>25</v>
      </c>
      <c r="M31" s="13">
        <v>587</v>
      </c>
      <c r="N31" t="s">
        <v>37</v>
      </c>
      <c r="O31" t="s">
        <v>43</v>
      </c>
      <c r="P31">
        <v>329</v>
      </c>
      <c r="Q31">
        <v>7</v>
      </c>
      <c r="R31">
        <v>39.292875586065747</v>
      </c>
      <c r="S31" t="s">
        <v>62</v>
      </c>
      <c r="T31">
        <v>3.8780989365884881</v>
      </c>
      <c r="U31" t="s">
        <v>29</v>
      </c>
      <c r="V31" t="s">
        <v>30</v>
      </c>
      <c r="W31">
        <v>764.93537594070813</v>
      </c>
      <c r="X31">
        <f>SupplyChain4[[#This Row],[Costs]]+SupplyChain4[[#This Row],[Shipping costs]]+SupplyChain4[[#This Row],[Manufacturing costs]]</f>
        <v>1391.2282515267739</v>
      </c>
      <c r="Y31">
        <f>SupplyChain4[[#This Row],[Revenue generated]]-SupplyChain4[[#This Row],[Total Costs]]</f>
        <v>6927.6749430904038</v>
      </c>
      <c r="Z31">
        <f>IF(SupplyChain4[[#This Row],[Stock levels]]=0,"",SupplyChain4[[#This Row],[Number of products sold]]/SupplyChain4[[#This Row],[Stock levels]])</f>
        <v>5.6222222222222218</v>
      </c>
      <c r="AA31">
        <f>IFERROR(SupplyChain4[[#This Row],[Revenue generated]]/SupplyChain4[[#This Row],[Number of products sold]],0)</f>
        <v>32.881040294929555</v>
      </c>
      <c r="AB31">
        <f>IFERROR(SupplyChain4[[#This Row],[Shipping costs]]/SupplyChain4[[#This Row],[Number of products sold]],0)</f>
        <v>2.3201581027667983</v>
      </c>
      <c r="AC31">
        <f>SupplyChain4[[#This Row],[Supplier Lead time]]+SupplyChain4[[#This Row],[Shipping times]]+SupplyChain4[[#This Row],[Manufacturing lead time]]</f>
        <v>19</v>
      </c>
    </row>
    <row r="32" spans="1:29">
      <c r="A32" t="s">
        <v>22</v>
      </c>
      <c r="B32" t="s">
        <v>82</v>
      </c>
      <c r="C32">
        <v>8.0228592105263932</v>
      </c>
      <c r="D32">
        <v>10</v>
      </c>
      <c r="E32">
        <v>327</v>
      </c>
      <c r="F32">
        <v>2766.3423668660889</v>
      </c>
      <c r="G32" t="s">
        <v>53</v>
      </c>
      <c r="H32">
        <v>60</v>
      </c>
      <c r="I32">
        <v>26</v>
      </c>
      <c r="J32">
        <v>35</v>
      </c>
      <c r="K32">
        <v>7</v>
      </c>
      <c r="L32" t="s">
        <v>25</v>
      </c>
      <c r="M32" s="13">
        <v>929</v>
      </c>
      <c r="N32" t="s">
        <v>50</v>
      </c>
      <c r="O32" t="s">
        <v>43</v>
      </c>
      <c r="P32">
        <v>806</v>
      </c>
      <c r="Q32">
        <v>30</v>
      </c>
      <c r="R32">
        <v>51.634893400109334</v>
      </c>
      <c r="S32" t="s">
        <v>28</v>
      </c>
      <c r="T32">
        <v>0.96539470535239313</v>
      </c>
      <c r="U32" t="s">
        <v>29</v>
      </c>
      <c r="V32" t="s">
        <v>39</v>
      </c>
      <c r="W32">
        <v>880.08098824716103</v>
      </c>
      <c r="X32">
        <f>SupplyChain4[[#This Row],[Costs]]+SupplyChain4[[#This Row],[Shipping costs]]+SupplyChain4[[#This Row],[Manufacturing costs]]</f>
        <v>1860.7158816472704</v>
      </c>
      <c r="Y32">
        <f>SupplyChain4[[#This Row],[Revenue generated]]-SupplyChain4[[#This Row],[Total Costs]]</f>
        <v>905.62648521881852</v>
      </c>
      <c r="Z32">
        <f>IF(SupplyChain4[[#This Row],[Stock levels]]=0,"",SupplyChain4[[#This Row],[Number of products sold]]/SupplyChain4[[#This Row],[Stock levels]])</f>
        <v>5.45</v>
      </c>
      <c r="AA32">
        <f>IFERROR(SupplyChain4[[#This Row],[Revenue generated]]/SupplyChain4[[#This Row],[Number of products sold]],0)</f>
        <v>8.4597625898045532</v>
      </c>
      <c r="AB32">
        <f>IFERROR(SupplyChain4[[#This Row],[Shipping costs]]/SupplyChain4[[#This Row],[Number of products sold]],0)</f>
        <v>2.8409785932721712</v>
      </c>
      <c r="AC32">
        <f>SupplyChain4[[#This Row],[Supplier Lead time]]+SupplyChain4[[#This Row],[Shipping times]]+SupplyChain4[[#This Row],[Manufacturing lead time]]</f>
        <v>63</v>
      </c>
    </row>
    <row r="33" spans="1:29">
      <c r="A33" t="s">
        <v>31</v>
      </c>
      <c r="B33" t="s">
        <v>83</v>
      </c>
      <c r="C33">
        <v>50.847393051718697</v>
      </c>
      <c r="D33">
        <v>28</v>
      </c>
      <c r="E33">
        <v>168</v>
      </c>
      <c r="F33">
        <v>9655.1351027193978</v>
      </c>
      <c r="G33" t="s">
        <v>53</v>
      </c>
      <c r="H33">
        <v>6</v>
      </c>
      <c r="I33">
        <v>17</v>
      </c>
      <c r="J33">
        <v>44</v>
      </c>
      <c r="K33">
        <v>4</v>
      </c>
      <c r="L33" t="s">
        <v>25</v>
      </c>
      <c r="M33" s="13">
        <v>665</v>
      </c>
      <c r="N33" t="s">
        <v>26</v>
      </c>
      <c r="O33" t="s">
        <v>60</v>
      </c>
      <c r="P33">
        <v>461</v>
      </c>
      <c r="Q33">
        <v>8</v>
      </c>
      <c r="R33">
        <v>60.25114566159808</v>
      </c>
      <c r="S33" t="s">
        <v>28</v>
      </c>
      <c r="T33">
        <v>2.9890000066550746</v>
      </c>
      <c r="U33" t="s">
        <v>45</v>
      </c>
      <c r="V33" t="s">
        <v>39</v>
      </c>
      <c r="W33">
        <v>609.37920661842668</v>
      </c>
      <c r="X33">
        <f>SupplyChain4[[#This Row],[Costs]]+SupplyChain4[[#This Row],[Shipping costs]]+SupplyChain4[[#This Row],[Manufacturing costs]]</f>
        <v>1334.6303522800247</v>
      </c>
      <c r="Y33">
        <f>SupplyChain4[[#This Row],[Revenue generated]]-SupplyChain4[[#This Row],[Total Costs]]</f>
        <v>8320.5047504393733</v>
      </c>
      <c r="Z33">
        <f>IF(SupplyChain4[[#This Row],[Stock levels]]=0,"",SupplyChain4[[#This Row],[Number of products sold]]/SupplyChain4[[#This Row],[Stock levels]])</f>
        <v>28</v>
      </c>
      <c r="AA33">
        <f>IFERROR(SupplyChain4[[#This Row],[Revenue generated]]/SupplyChain4[[#This Row],[Number of products sold]],0)</f>
        <v>57.471042278091652</v>
      </c>
      <c r="AB33">
        <f>IFERROR(SupplyChain4[[#This Row],[Shipping costs]]/SupplyChain4[[#This Row],[Number of products sold]],0)</f>
        <v>3.9583333333333335</v>
      </c>
      <c r="AC33">
        <f>SupplyChain4[[#This Row],[Supplier Lead time]]+SupplyChain4[[#This Row],[Shipping times]]+SupplyChain4[[#This Row],[Manufacturing lead time]]</f>
        <v>29</v>
      </c>
    </row>
    <row r="34" spans="1:29">
      <c r="A34" t="s">
        <v>31</v>
      </c>
      <c r="B34" t="s">
        <v>84</v>
      </c>
      <c r="C34">
        <v>79.209936015656723</v>
      </c>
      <c r="D34">
        <v>43</v>
      </c>
      <c r="E34">
        <v>781</v>
      </c>
      <c r="F34">
        <v>9571.5504873278187</v>
      </c>
      <c r="G34" t="s">
        <v>36</v>
      </c>
      <c r="H34">
        <v>89</v>
      </c>
      <c r="I34">
        <v>13</v>
      </c>
      <c r="J34">
        <v>64</v>
      </c>
      <c r="K34">
        <v>4</v>
      </c>
      <c r="L34" t="s">
        <v>41</v>
      </c>
      <c r="M34" s="13">
        <v>660</v>
      </c>
      <c r="N34" t="s">
        <v>26</v>
      </c>
      <c r="O34" t="s">
        <v>43</v>
      </c>
      <c r="P34">
        <v>737</v>
      </c>
      <c r="Q34">
        <v>7</v>
      </c>
      <c r="R34">
        <v>29.692467153749774</v>
      </c>
      <c r="S34" t="s">
        <v>62</v>
      </c>
      <c r="T34">
        <v>1.9460361193861131</v>
      </c>
      <c r="U34" t="s">
        <v>29</v>
      </c>
      <c r="V34" t="s">
        <v>46</v>
      </c>
      <c r="W34">
        <v>761.17390951487755</v>
      </c>
      <c r="X34">
        <f>SupplyChain4[[#This Row],[Costs]]+SupplyChain4[[#This Row],[Shipping costs]]+SupplyChain4[[#This Row],[Manufacturing costs]]</f>
        <v>1450.8663766686273</v>
      </c>
      <c r="Y34">
        <f>SupplyChain4[[#This Row],[Revenue generated]]-SupplyChain4[[#This Row],[Total Costs]]</f>
        <v>8120.684110659191</v>
      </c>
      <c r="Z34">
        <f>IF(SupplyChain4[[#This Row],[Stock levels]]=0,"",SupplyChain4[[#This Row],[Number of products sold]]/SupplyChain4[[#This Row],[Stock levels]])</f>
        <v>8.7752808988764048</v>
      </c>
      <c r="AA34">
        <f>IFERROR(SupplyChain4[[#This Row],[Revenue generated]]/SupplyChain4[[#This Row],[Number of products sold]],0)</f>
        <v>12.255506385823072</v>
      </c>
      <c r="AB34">
        <f>IFERROR(SupplyChain4[[#This Row],[Shipping costs]]/SupplyChain4[[#This Row],[Number of products sold]],0)</f>
        <v>0.84507042253521125</v>
      </c>
      <c r="AC34">
        <f>SupplyChain4[[#This Row],[Supplier Lead time]]+SupplyChain4[[#This Row],[Shipping times]]+SupplyChain4[[#This Row],[Manufacturing lead time]]</f>
        <v>24</v>
      </c>
    </row>
    <row r="35" spans="1:29">
      <c r="A35" t="s">
        <v>55</v>
      </c>
      <c r="B35" t="s">
        <v>85</v>
      </c>
      <c r="C35">
        <v>64.795435000155607</v>
      </c>
      <c r="D35">
        <v>63</v>
      </c>
      <c r="E35">
        <v>616</v>
      </c>
      <c r="F35">
        <v>5149.9983504080365</v>
      </c>
      <c r="G35" t="s">
        <v>24</v>
      </c>
      <c r="H35">
        <v>4</v>
      </c>
      <c r="I35">
        <v>17</v>
      </c>
      <c r="J35">
        <v>95</v>
      </c>
      <c r="K35">
        <v>9</v>
      </c>
      <c r="L35" t="s">
        <v>41</v>
      </c>
      <c r="M35" s="13">
        <v>1097</v>
      </c>
      <c r="N35" t="s">
        <v>42</v>
      </c>
      <c r="O35" t="s">
        <v>60</v>
      </c>
      <c r="P35">
        <v>251</v>
      </c>
      <c r="Q35">
        <v>23</v>
      </c>
      <c r="R35">
        <v>23.853427512896133</v>
      </c>
      <c r="S35" t="s">
        <v>44</v>
      </c>
      <c r="T35">
        <v>3.5410460122509231</v>
      </c>
      <c r="U35" t="s">
        <v>54</v>
      </c>
      <c r="V35" t="s">
        <v>46</v>
      </c>
      <c r="W35">
        <v>371.25529551987103</v>
      </c>
      <c r="X35">
        <f>SupplyChain4[[#This Row],[Costs]]+SupplyChain4[[#This Row],[Shipping costs]]+SupplyChain4[[#This Row],[Manufacturing costs]]</f>
        <v>1492.1087230327671</v>
      </c>
      <c r="Y35">
        <f>SupplyChain4[[#This Row],[Revenue generated]]-SupplyChain4[[#This Row],[Total Costs]]</f>
        <v>3657.8896273752694</v>
      </c>
      <c r="Z35">
        <f>IF(SupplyChain4[[#This Row],[Stock levels]]=0,"",SupplyChain4[[#This Row],[Number of products sold]]/SupplyChain4[[#This Row],[Stock levels]])</f>
        <v>154</v>
      </c>
      <c r="AA35">
        <f>IFERROR(SupplyChain4[[#This Row],[Revenue generated]]/SupplyChain4[[#This Row],[Number of products sold]],0)</f>
        <v>8.3603869324805782</v>
      </c>
      <c r="AB35">
        <f>IFERROR(SupplyChain4[[#This Row],[Shipping costs]]/SupplyChain4[[#This Row],[Number of products sold]],0)</f>
        <v>1.7808441558441559</v>
      </c>
      <c r="AC35">
        <f>SupplyChain4[[#This Row],[Supplier Lead time]]+SupplyChain4[[#This Row],[Shipping times]]+SupplyChain4[[#This Row],[Manufacturing lead time]]</f>
        <v>49</v>
      </c>
    </row>
    <row r="36" spans="1:29">
      <c r="A36" t="s">
        <v>31</v>
      </c>
      <c r="B36" t="s">
        <v>86</v>
      </c>
      <c r="C36">
        <v>37.467592329842461</v>
      </c>
      <c r="D36">
        <v>96</v>
      </c>
      <c r="E36">
        <v>602</v>
      </c>
      <c r="F36">
        <v>9061.7108955077238</v>
      </c>
      <c r="G36" t="s">
        <v>36</v>
      </c>
      <c r="H36">
        <v>24</v>
      </c>
      <c r="I36">
        <v>26</v>
      </c>
      <c r="J36">
        <v>21</v>
      </c>
      <c r="K36">
        <v>7</v>
      </c>
      <c r="L36" t="s">
        <v>34</v>
      </c>
      <c r="M36" s="13">
        <v>436</v>
      </c>
      <c r="N36" t="s">
        <v>37</v>
      </c>
      <c r="O36" t="s">
        <v>60</v>
      </c>
      <c r="P36">
        <v>452</v>
      </c>
      <c r="Q36">
        <v>10</v>
      </c>
      <c r="R36">
        <v>10.754272815029333</v>
      </c>
      <c r="S36" t="s">
        <v>62</v>
      </c>
      <c r="T36">
        <v>0.64660455937205485</v>
      </c>
      <c r="U36" t="s">
        <v>29</v>
      </c>
      <c r="V36" t="s">
        <v>30</v>
      </c>
      <c r="W36">
        <v>510.3580004335235</v>
      </c>
      <c r="X36">
        <f>SupplyChain4[[#This Row],[Costs]]+SupplyChain4[[#This Row],[Shipping costs]]+SupplyChain4[[#This Row],[Manufacturing costs]]</f>
        <v>957.11227324855292</v>
      </c>
      <c r="Y36">
        <f>SupplyChain4[[#This Row],[Revenue generated]]-SupplyChain4[[#This Row],[Total Costs]]</f>
        <v>8104.598622259171</v>
      </c>
      <c r="Z36">
        <f>IF(SupplyChain4[[#This Row],[Stock levels]]=0,"",SupplyChain4[[#This Row],[Number of products sold]]/SupplyChain4[[#This Row],[Stock levels]])</f>
        <v>25.083333333333332</v>
      </c>
      <c r="AA36">
        <f>IFERROR(SupplyChain4[[#This Row],[Revenue generated]]/SupplyChain4[[#This Row],[Number of products sold]],0)</f>
        <v>15.05267590615901</v>
      </c>
      <c r="AB36">
        <f>IFERROR(SupplyChain4[[#This Row],[Shipping costs]]/SupplyChain4[[#This Row],[Number of products sold]],0)</f>
        <v>0.72425249169435213</v>
      </c>
      <c r="AC36">
        <f>SupplyChain4[[#This Row],[Supplier Lead time]]+SupplyChain4[[#This Row],[Shipping times]]+SupplyChain4[[#This Row],[Manufacturing lead time]]</f>
        <v>43</v>
      </c>
    </row>
    <row r="37" spans="1:29">
      <c r="A37" t="s">
        <v>55</v>
      </c>
      <c r="B37" t="s">
        <v>87</v>
      </c>
      <c r="C37">
        <v>84.957786816350435</v>
      </c>
      <c r="D37">
        <v>11</v>
      </c>
      <c r="E37">
        <v>449</v>
      </c>
      <c r="F37">
        <v>6541.3293448024651</v>
      </c>
      <c r="G37" t="s">
        <v>33</v>
      </c>
      <c r="H37">
        <v>42</v>
      </c>
      <c r="I37">
        <v>27</v>
      </c>
      <c r="J37">
        <v>85</v>
      </c>
      <c r="K37">
        <v>8</v>
      </c>
      <c r="L37" t="s">
        <v>41</v>
      </c>
      <c r="M37" s="13">
        <v>191</v>
      </c>
      <c r="N37" t="s">
        <v>37</v>
      </c>
      <c r="O37" t="s">
        <v>48</v>
      </c>
      <c r="P37">
        <v>367</v>
      </c>
      <c r="Q37">
        <v>2</v>
      </c>
      <c r="R37">
        <v>58.004787044743765</v>
      </c>
      <c r="S37" t="s">
        <v>62</v>
      </c>
      <c r="T37">
        <v>0.54115409806058112</v>
      </c>
      <c r="U37" t="s">
        <v>54</v>
      </c>
      <c r="V37" t="s">
        <v>39</v>
      </c>
      <c r="W37">
        <v>553.42047123035582</v>
      </c>
      <c r="X37">
        <f>SupplyChain4[[#This Row],[Costs]]+SupplyChain4[[#This Row],[Shipping costs]]+SupplyChain4[[#This Row],[Manufacturing costs]]</f>
        <v>802.42525827509962</v>
      </c>
      <c r="Y37">
        <f>SupplyChain4[[#This Row],[Revenue generated]]-SupplyChain4[[#This Row],[Total Costs]]</f>
        <v>5738.9040865273655</v>
      </c>
      <c r="Z37">
        <f>IF(SupplyChain4[[#This Row],[Stock levels]]=0,"",SupplyChain4[[#This Row],[Number of products sold]]/SupplyChain4[[#This Row],[Stock levels]])</f>
        <v>10.69047619047619</v>
      </c>
      <c r="AA37">
        <f>IFERROR(SupplyChain4[[#This Row],[Revenue generated]]/SupplyChain4[[#This Row],[Number of products sold]],0)</f>
        <v>14.568662237867406</v>
      </c>
      <c r="AB37">
        <f>IFERROR(SupplyChain4[[#This Row],[Shipping costs]]/SupplyChain4[[#This Row],[Number of products sold]],0)</f>
        <v>0.42538975501113585</v>
      </c>
      <c r="AC37">
        <f>SupplyChain4[[#This Row],[Supplier Lead time]]+SupplyChain4[[#This Row],[Shipping times]]+SupplyChain4[[#This Row],[Manufacturing lead time]]</f>
        <v>37</v>
      </c>
    </row>
    <row r="38" spans="1:29">
      <c r="A38" t="s">
        <v>31</v>
      </c>
      <c r="B38" t="s">
        <v>88</v>
      </c>
      <c r="C38">
        <v>9.8130025787540518</v>
      </c>
      <c r="D38">
        <v>34</v>
      </c>
      <c r="E38">
        <v>963</v>
      </c>
      <c r="F38">
        <v>7573.4024578487333</v>
      </c>
      <c r="G38" t="s">
        <v>33</v>
      </c>
      <c r="H38">
        <v>18</v>
      </c>
      <c r="I38">
        <v>23</v>
      </c>
      <c r="J38">
        <v>28</v>
      </c>
      <c r="K38">
        <v>3</v>
      </c>
      <c r="L38" t="s">
        <v>25</v>
      </c>
      <c r="M38" s="13">
        <v>738</v>
      </c>
      <c r="N38" t="s">
        <v>59</v>
      </c>
      <c r="O38" t="s">
        <v>48</v>
      </c>
      <c r="P38">
        <v>671</v>
      </c>
      <c r="Q38">
        <v>19</v>
      </c>
      <c r="R38">
        <v>45.531364237162144</v>
      </c>
      <c r="S38" t="s">
        <v>44</v>
      </c>
      <c r="T38">
        <v>3.8055333792433537</v>
      </c>
      <c r="U38" t="s">
        <v>38</v>
      </c>
      <c r="V38" t="s">
        <v>39</v>
      </c>
      <c r="W38">
        <v>403.8089742481805</v>
      </c>
      <c r="X38">
        <f>SupplyChain4[[#This Row],[Costs]]+SupplyChain4[[#This Row],[Shipping costs]]+SupplyChain4[[#This Row],[Manufacturing costs]]</f>
        <v>1187.3403384853425</v>
      </c>
      <c r="Y38">
        <f>SupplyChain4[[#This Row],[Revenue generated]]-SupplyChain4[[#This Row],[Total Costs]]</f>
        <v>6386.0621193633906</v>
      </c>
      <c r="Z38">
        <f>IF(SupplyChain4[[#This Row],[Stock levels]]=0,"",SupplyChain4[[#This Row],[Number of products sold]]/SupplyChain4[[#This Row],[Stock levels]])</f>
        <v>53.5</v>
      </c>
      <c r="AA38">
        <f>IFERROR(SupplyChain4[[#This Row],[Revenue generated]]/SupplyChain4[[#This Row],[Number of products sold]],0)</f>
        <v>7.8643846914317068</v>
      </c>
      <c r="AB38">
        <f>IFERROR(SupplyChain4[[#This Row],[Shipping costs]]/SupplyChain4[[#This Row],[Number of products sold]],0)</f>
        <v>0.76635514018691586</v>
      </c>
      <c r="AC38">
        <f>SupplyChain4[[#This Row],[Supplier Lead time]]+SupplyChain4[[#This Row],[Shipping times]]+SupplyChain4[[#This Row],[Manufacturing lead time]]</f>
        <v>45</v>
      </c>
    </row>
    <row r="39" spans="1:29">
      <c r="A39" t="s">
        <v>31</v>
      </c>
      <c r="B39" t="s">
        <v>89</v>
      </c>
      <c r="C39">
        <v>23.399844752614349</v>
      </c>
      <c r="D39">
        <v>5</v>
      </c>
      <c r="E39">
        <v>963</v>
      </c>
      <c r="F39">
        <v>2438.3399304700288</v>
      </c>
      <c r="G39" t="s">
        <v>33</v>
      </c>
      <c r="H39">
        <v>25</v>
      </c>
      <c r="I39">
        <v>8</v>
      </c>
      <c r="J39">
        <v>21</v>
      </c>
      <c r="K39">
        <v>9</v>
      </c>
      <c r="L39" t="s">
        <v>34</v>
      </c>
      <c r="M39" s="13">
        <v>858</v>
      </c>
      <c r="N39" t="s">
        <v>26</v>
      </c>
      <c r="O39" t="s">
        <v>43</v>
      </c>
      <c r="P39">
        <v>867</v>
      </c>
      <c r="Q39">
        <v>15</v>
      </c>
      <c r="R39">
        <v>34.343277465075381</v>
      </c>
      <c r="S39" t="s">
        <v>28</v>
      </c>
      <c r="T39">
        <v>2.6102880848481131</v>
      </c>
      <c r="U39" t="s">
        <v>54</v>
      </c>
      <c r="V39" t="s">
        <v>46</v>
      </c>
      <c r="W39">
        <v>183.93296804359437</v>
      </c>
      <c r="X39">
        <f>SupplyChain4[[#This Row],[Costs]]+SupplyChain4[[#This Row],[Shipping costs]]+SupplyChain4[[#This Row],[Manufacturing costs]]</f>
        <v>1076.2762455086697</v>
      </c>
      <c r="Y39">
        <f>SupplyChain4[[#This Row],[Revenue generated]]-SupplyChain4[[#This Row],[Total Costs]]</f>
        <v>1362.0636849613591</v>
      </c>
      <c r="Z39">
        <f>IF(SupplyChain4[[#This Row],[Stock levels]]=0,"",SupplyChain4[[#This Row],[Number of products sold]]/SupplyChain4[[#This Row],[Stock levels]])</f>
        <v>38.520000000000003</v>
      </c>
      <c r="AA39">
        <f>IFERROR(SupplyChain4[[#This Row],[Revenue generated]]/SupplyChain4[[#This Row],[Number of products sold]],0)</f>
        <v>2.5320248499169562</v>
      </c>
      <c r="AB39">
        <f>IFERROR(SupplyChain4[[#This Row],[Shipping costs]]/SupplyChain4[[#This Row],[Number of products sold]],0)</f>
        <v>0.8909657320872274</v>
      </c>
      <c r="AC39">
        <f>SupplyChain4[[#This Row],[Supplier Lead time]]+SupplyChain4[[#This Row],[Shipping times]]+SupplyChain4[[#This Row],[Manufacturing lead time]]</f>
        <v>32</v>
      </c>
    </row>
    <row r="40" spans="1:29">
      <c r="A40" t="s">
        <v>55</v>
      </c>
      <c r="B40" t="s">
        <v>90</v>
      </c>
      <c r="C40">
        <v>52.075930682707799</v>
      </c>
      <c r="D40">
        <v>75</v>
      </c>
      <c r="E40">
        <v>705</v>
      </c>
      <c r="F40">
        <v>9692.3180402184316</v>
      </c>
      <c r="G40" t="s">
        <v>24</v>
      </c>
      <c r="H40">
        <v>69</v>
      </c>
      <c r="I40">
        <v>1</v>
      </c>
      <c r="J40">
        <v>88</v>
      </c>
      <c r="K40">
        <v>5</v>
      </c>
      <c r="L40" t="s">
        <v>25</v>
      </c>
      <c r="M40" s="13">
        <v>1120</v>
      </c>
      <c r="N40" t="s">
        <v>42</v>
      </c>
      <c r="O40" t="s">
        <v>27</v>
      </c>
      <c r="P40">
        <v>841</v>
      </c>
      <c r="Q40">
        <v>12</v>
      </c>
      <c r="R40">
        <v>5.9306936455283177</v>
      </c>
      <c r="S40" t="s">
        <v>28</v>
      </c>
      <c r="T40">
        <v>0.61332689916450744</v>
      </c>
      <c r="U40" t="s">
        <v>38</v>
      </c>
      <c r="V40" t="s">
        <v>30</v>
      </c>
      <c r="W40">
        <v>339.67286994860615</v>
      </c>
      <c r="X40">
        <f>SupplyChain4[[#This Row],[Costs]]+SupplyChain4[[#This Row],[Shipping costs]]+SupplyChain4[[#This Row],[Manufacturing costs]]</f>
        <v>1465.6035635941344</v>
      </c>
      <c r="Y40">
        <f>SupplyChain4[[#This Row],[Revenue generated]]-SupplyChain4[[#This Row],[Total Costs]]</f>
        <v>8226.7144766242964</v>
      </c>
      <c r="Z40">
        <f>IF(SupplyChain4[[#This Row],[Stock levels]]=0,"",SupplyChain4[[#This Row],[Number of products sold]]/SupplyChain4[[#This Row],[Stock levels]])</f>
        <v>10.217391304347826</v>
      </c>
      <c r="AA40">
        <f>IFERROR(SupplyChain4[[#This Row],[Revenue generated]]/SupplyChain4[[#This Row],[Number of products sold]],0)</f>
        <v>13.747968851373662</v>
      </c>
      <c r="AB40">
        <f>IFERROR(SupplyChain4[[#This Row],[Shipping costs]]/SupplyChain4[[#This Row],[Number of products sold]],0)</f>
        <v>1.5886524822695036</v>
      </c>
      <c r="AC40">
        <f>SupplyChain4[[#This Row],[Supplier Lead time]]+SupplyChain4[[#This Row],[Shipping times]]+SupplyChain4[[#This Row],[Manufacturing lead time]]</f>
        <v>18</v>
      </c>
    </row>
    <row r="41" spans="1:29">
      <c r="A41" t="s">
        <v>31</v>
      </c>
      <c r="B41" t="s">
        <v>91</v>
      </c>
      <c r="C41">
        <v>19.127477265823256</v>
      </c>
      <c r="D41">
        <v>26</v>
      </c>
      <c r="E41">
        <v>176</v>
      </c>
      <c r="F41">
        <v>1912.4656631007608</v>
      </c>
      <c r="G41" t="s">
        <v>33</v>
      </c>
      <c r="H41">
        <v>78</v>
      </c>
      <c r="I41">
        <v>29</v>
      </c>
      <c r="J41">
        <v>34</v>
      </c>
      <c r="K41">
        <v>3</v>
      </c>
      <c r="L41" t="s">
        <v>34</v>
      </c>
      <c r="M41" s="13">
        <v>166</v>
      </c>
      <c r="N41" t="s">
        <v>59</v>
      </c>
      <c r="O41" t="s">
        <v>43</v>
      </c>
      <c r="P41">
        <v>791</v>
      </c>
      <c r="Q41">
        <v>6</v>
      </c>
      <c r="R41">
        <v>9.0058074287816421</v>
      </c>
      <c r="S41" t="s">
        <v>44</v>
      </c>
      <c r="T41">
        <v>1.4519722039968159</v>
      </c>
      <c r="U41" t="s">
        <v>38</v>
      </c>
      <c r="V41" t="s">
        <v>30</v>
      </c>
      <c r="W41">
        <v>653.67299455203317</v>
      </c>
      <c r="X41">
        <f>SupplyChain4[[#This Row],[Costs]]+SupplyChain4[[#This Row],[Shipping costs]]+SupplyChain4[[#This Row],[Manufacturing costs]]</f>
        <v>828.6788019808148</v>
      </c>
      <c r="Y41">
        <f>SupplyChain4[[#This Row],[Revenue generated]]-SupplyChain4[[#This Row],[Total Costs]]</f>
        <v>1083.786861119946</v>
      </c>
      <c r="Z41">
        <f>IF(SupplyChain4[[#This Row],[Stock levels]]=0,"",SupplyChain4[[#This Row],[Number of products sold]]/SupplyChain4[[#This Row],[Stock levels]])</f>
        <v>2.2564102564102564</v>
      </c>
      <c r="AA41">
        <f>IFERROR(SupplyChain4[[#This Row],[Revenue generated]]/SupplyChain4[[#This Row],[Number of products sold]],0)</f>
        <v>10.866282176708868</v>
      </c>
      <c r="AB41">
        <f>IFERROR(SupplyChain4[[#This Row],[Shipping costs]]/SupplyChain4[[#This Row],[Number of products sold]],0)</f>
        <v>0.94318181818181823</v>
      </c>
      <c r="AC41">
        <f>SupplyChain4[[#This Row],[Supplier Lead time]]+SupplyChain4[[#This Row],[Shipping times]]+SupplyChain4[[#This Row],[Manufacturing lead time]]</f>
        <v>38</v>
      </c>
    </row>
    <row r="42" spans="1:29">
      <c r="A42" t="s">
        <v>31</v>
      </c>
      <c r="B42" t="s">
        <v>92</v>
      </c>
      <c r="C42">
        <v>80.541424170940331</v>
      </c>
      <c r="D42">
        <v>97</v>
      </c>
      <c r="E42">
        <v>933</v>
      </c>
      <c r="F42">
        <v>5724.9593504562654</v>
      </c>
      <c r="G42" t="s">
        <v>33</v>
      </c>
      <c r="H42">
        <v>90</v>
      </c>
      <c r="I42">
        <v>20</v>
      </c>
      <c r="J42">
        <v>39</v>
      </c>
      <c r="K42">
        <v>8</v>
      </c>
      <c r="L42" t="s">
        <v>41</v>
      </c>
      <c r="M42" s="13">
        <v>115</v>
      </c>
      <c r="N42" t="s">
        <v>37</v>
      </c>
      <c r="O42" t="s">
        <v>43</v>
      </c>
      <c r="P42">
        <v>793</v>
      </c>
      <c r="Q42">
        <v>1</v>
      </c>
      <c r="R42">
        <v>88.179407104217461</v>
      </c>
      <c r="S42" t="s">
        <v>28</v>
      </c>
      <c r="T42">
        <v>4.2132694305865659</v>
      </c>
      <c r="U42" t="s">
        <v>29</v>
      </c>
      <c r="V42" t="s">
        <v>46</v>
      </c>
      <c r="W42">
        <v>529.80872398069187</v>
      </c>
      <c r="X42">
        <f>SupplyChain4[[#This Row],[Costs]]+SupplyChain4[[#This Row],[Shipping costs]]+SupplyChain4[[#This Row],[Manufacturing costs]]</f>
        <v>732.98813108490936</v>
      </c>
      <c r="Y42">
        <f>SupplyChain4[[#This Row],[Revenue generated]]-SupplyChain4[[#This Row],[Total Costs]]</f>
        <v>4991.9712193713558</v>
      </c>
      <c r="Z42">
        <f>IF(SupplyChain4[[#This Row],[Stock levels]]=0,"",SupplyChain4[[#This Row],[Number of products sold]]/SupplyChain4[[#This Row],[Stock levels]])</f>
        <v>10.366666666666667</v>
      </c>
      <c r="AA42">
        <f>IFERROR(SupplyChain4[[#This Row],[Revenue generated]]/SupplyChain4[[#This Row],[Number of products sold]],0)</f>
        <v>6.1360764742296521</v>
      </c>
      <c r="AB42">
        <f>IFERROR(SupplyChain4[[#This Row],[Shipping costs]]/SupplyChain4[[#This Row],[Number of products sold]],0)</f>
        <v>0.1232583065380493</v>
      </c>
      <c r="AC42">
        <f>SupplyChain4[[#This Row],[Supplier Lead time]]+SupplyChain4[[#This Row],[Shipping times]]+SupplyChain4[[#This Row],[Manufacturing lead time]]</f>
        <v>29</v>
      </c>
    </row>
    <row r="43" spans="1:29">
      <c r="A43" t="s">
        <v>31</v>
      </c>
      <c r="B43" t="s">
        <v>93</v>
      </c>
      <c r="C43">
        <v>99.113291615317166</v>
      </c>
      <c r="D43">
        <v>35</v>
      </c>
      <c r="E43">
        <v>556</v>
      </c>
      <c r="F43">
        <v>5521.2052590109715</v>
      </c>
      <c r="G43" t="s">
        <v>33</v>
      </c>
      <c r="H43">
        <v>64</v>
      </c>
      <c r="I43">
        <v>19</v>
      </c>
      <c r="J43">
        <v>38</v>
      </c>
      <c r="K43">
        <v>8</v>
      </c>
      <c r="L43" t="s">
        <v>25</v>
      </c>
      <c r="M43" s="13">
        <v>234</v>
      </c>
      <c r="N43" t="s">
        <v>50</v>
      </c>
      <c r="O43" t="s">
        <v>60</v>
      </c>
      <c r="P43">
        <v>892</v>
      </c>
      <c r="Q43">
        <v>7</v>
      </c>
      <c r="R43">
        <v>95.332064548772493</v>
      </c>
      <c r="S43" t="s">
        <v>44</v>
      </c>
      <c r="T43">
        <v>4.530226239825963E-2</v>
      </c>
      <c r="U43" t="s">
        <v>54</v>
      </c>
      <c r="V43" t="s">
        <v>46</v>
      </c>
      <c r="W43">
        <v>275.52437113130981</v>
      </c>
      <c r="X43">
        <f>SupplyChain4[[#This Row],[Costs]]+SupplyChain4[[#This Row],[Shipping costs]]+SupplyChain4[[#This Row],[Manufacturing costs]]</f>
        <v>604.85643568008231</v>
      </c>
      <c r="Y43">
        <f>SupplyChain4[[#This Row],[Revenue generated]]-SupplyChain4[[#This Row],[Total Costs]]</f>
        <v>4916.348823330889</v>
      </c>
      <c r="Z43">
        <f>IF(SupplyChain4[[#This Row],[Stock levels]]=0,"",SupplyChain4[[#This Row],[Number of products sold]]/SupplyChain4[[#This Row],[Stock levels]])</f>
        <v>8.6875</v>
      </c>
      <c r="AA43">
        <f>IFERROR(SupplyChain4[[#This Row],[Revenue generated]]/SupplyChain4[[#This Row],[Number of products sold]],0)</f>
        <v>9.9302252859909554</v>
      </c>
      <c r="AB43">
        <f>IFERROR(SupplyChain4[[#This Row],[Shipping costs]]/SupplyChain4[[#This Row],[Number of products sold]],0)</f>
        <v>0.42086330935251798</v>
      </c>
      <c r="AC43">
        <f>SupplyChain4[[#This Row],[Supplier Lead time]]+SupplyChain4[[#This Row],[Shipping times]]+SupplyChain4[[#This Row],[Manufacturing lead time]]</f>
        <v>34</v>
      </c>
    </row>
    <row r="44" spans="1:29">
      <c r="A44" t="s">
        <v>31</v>
      </c>
      <c r="B44" t="s">
        <v>94</v>
      </c>
      <c r="C44">
        <v>46.529167614516773</v>
      </c>
      <c r="D44">
        <v>98</v>
      </c>
      <c r="E44">
        <v>155</v>
      </c>
      <c r="F44">
        <v>1839.6094258567639</v>
      </c>
      <c r="G44" t="s">
        <v>33</v>
      </c>
      <c r="H44">
        <v>22</v>
      </c>
      <c r="I44">
        <v>27</v>
      </c>
      <c r="J44">
        <v>57</v>
      </c>
      <c r="K44">
        <v>4</v>
      </c>
      <c r="L44" t="s">
        <v>41</v>
      </c>
      <c r="M44" s="13">
        <v>786</v>
      </c>
      <c r="N44" t="s">
        <v>42</v>
      </c>
      <c r="O44" t="s">
        <v>51</v>
      </c>
      <c r="P44">
        <v>179</v>
      </c>
      <c r="Q44">
        <v>7</v>
      </c>
      <c r="R44">
        <v>96.422820639571867</v>
      </c>
      <c r="S44" t="s">
        <v>44</v>
      </c>
      <c r="T44">
        <v>4.9392552886209478</v>
      </c>
      <c r="U44" t="s">
        <v>29</v>
      </c>
      <c r="V44" t="s">
        <v>46</v>
      </c>
      <c r="W44">
        <v>635.65712050199193</v>
      </c>
      <c r="X44">
        <f>SupplyChain4[[#This Row],[Costs]]+SupplyChain4[[#This Row],[Shipping costs]]+SupplyChain4[[#This Row],[Manufacturing costs]]</f>
        <v>1518.0799411415637</v>
      </c>
      <c r="Y44">
        <f>SupplyChain4[[#This Row],[Revenue generated]]-SupplyChain4[[#This Row],[Total Costs]]</f>
        <v>321.52948471520017</v>
      </c>
      <c r="Z44">
        <f>IF(SupplyChain4[[#This Row],[Stock levels]]=0,"",SupplyChain4[[#This Row],[Number of products sold]]/SupplyChain4[[#This Row],[Stock levels]])</f>
        <v>7.0454545454545459</v>
      </c>
      <c r="AA44">
        <f>IFERROR(SupplyChain4[[#This Row],[Revenue generated]]/SupplyChain4[[#This Row],[Number of products sold]],0)</f>
        <v>11.868447908753316</v>
      </c>
      <c r="AB44">
        <f>IFERROR(SupplyChain4[[#This Row],[Shipping costs]]/SupplyChain4[[#This Row],[Number of products sold]],0)</f>
        <v>5.0709677419354842</v>
      </c>
      <c r="AC44">
        <f>SupplyChain4[[#This Row],[Supplier Lead time]]+SupplyChain4[[#This Row],[Shipping times]]+SupplyChain4[[#This Row],[Manufacturing lead time]]</f>
        <v>38</v>
      </c>
    </row>
    <row r="45" spans="1:29">
      <c r="A45" t="s">
        <v>22</v>
      </c>
      <c r="B45" t="s">
        <v>95</v>
      </c>
      <c r="C45">
        <v>11.743271776309239</v>
      </c>
      <c r="D45">
        <v>6</v>
      </c>
      <c r="E45">
        <v>598</v>
      </c>
      <c r="F45">
        <v>5737.425599119023</v>
      </c>
      <c r="G45" t="s">
        <v>36</v>
      </c>
      <c r="H45">
        <v>36</v>
      </c>
      <c r="I45">
        <v>29</v>
      </c>
      <c r="J45">
        <v>85</v>
      </c>
      <c r="K45">
        <v>9</v>
      </c>
      <c r="L45" t="s">
        <v>25</v>
      </c>
      <c r="M45" s="13">
        <v>685</v>
      </c>
      <c r="N45" t="s">
        <v>42</v>
      </c>
      <c r="O45" t="s">
        <v>27</v>
      </c>
      <c r="P45">
        <v>206</v>
      </c>
      <c r="Q45">
        <v>23</v>
      </c>
      <c r="R45">
        <v>26.27736595733241</v>
      </c>
      <c r="S45" t="s">
        <v>28</v>
      </c>
      <c r="T45">
        <v>0.37230476798509771</v>
      </c>
      <c r="U45" t="s">
        <v>38</v>
      </c>
      <c r="V45" t="s">
        <v>46</v>
      </c>
      <c r="W45">
        <v>716.04411975934067</v>
      </c>
      <c r="X45">
        <f>SupplyChain4[[#This Row],[Costs]]+SupplyChain4[[#This Row],[Shipping costs]]+SupplyChain4[[#This Row],[Manufacturing costs]]</f>
        <v>1427.3214857166731</v>
      </c>
      <c r="Y45">
        <f>SupplyChain4[[#This Row],[Revenue generated]]-SupplyChain4[[#This Row],[Total Costs]]</f>
        <v>4310.1041134023499</v>
      </c>
      <c r="Z45">
        <f>IF(SupplyChain4[[#This Row],[Stock levels]]=0,"",SupplyChain4[[#This Row],[Number of products sold]]/SupplyChain4[[#This Row],[Stock levels]])</f>
        <v>16.611111111111111</v>
      </c>
      <c r="AA45">
        <f>IFERROR(SupplyChain4[[#This Row],[Revenue generated]]/SupplyChain4[[#This Row],[Number of products sold]],0)</f>
        <v>9.5943571891622454</v>
      </c>
      <c r="AB45">
        <f>IFERROR(SupplyChain4[[#This Row],[Shipping costs]]/SupplyChain4[[#This Row],[Number of products sold]],0)</f>
        <v>1.1454849498327759</v>
      </c>
      <c r="AC45">
        <f>SupplyChain4[[#This Row],[Supplier Lead time]]+SupplyChain4[[#This Row],[Shipping times]]+SupplyChain4[[#This Row],[Manufacturing lead time]]</f>
        <v>61</v>
      </c>
    </row>
    <row r="46" spans="1:29">
      <c r="A46" t="s">
        <v>55</v>
      </c>
      <c r="B46" t="s">
        <v>96</v>
      </c>
      <c r="C46">
        <v>51.35579091311039</v>
      </c>
      <c r="D46">
        <v>34</v>
      </c>
      <c r="E46">
        <v>919</v>
      </c>
      <c r="F46">
        <v>7152.2860494355145</v>
      </c>
      <c r="G46" t="s">
        <v>33</v>
      </c>
      <c r="H46">
        <v>13</v>
      </c>
      <c r="I46">
        <v>19</v>
      </c>
      <c r="J46">
        <v>72</v>
      </c>
      <c r="K46">
        <v>6</v>
      </c>
      <c r="L46" t="s">
        <v>41</v>
      </c>
      <c r="M46" s="13">
        <v>537</v>
      </c>
      <c r="N46" t="s">
        <v>59</v>
      </c>
      <c r="O46" t="s">
        <v>48</v>
      </c>
      <c r="P46">
        <v>834</v>
      </c>
      <c r="Q46">
        <v>18</v>
      </c>
      <c r="R46">
        <v>22.554106620887744</v>
      </c>
      <c r="S46" t="s">
        <v>44</v>
      </c>
      <c r="T46">
        <v>2.9626263204548819</v>
      </c>
      <c r="U46" t="s">
        <v>45</v>
      </c>
      <c r="V46" t="s">
        <v>46</v>
      </c>
      <c r="W46">
        <v>610.45326961922774</v>
      </c>
      <c r="X46">
        <f>SupplyChain4[[#This Row],[Costs]]+SupplyChain4[[#This Row],[Shipping costs]]+SupplyChain4[[#This Row],[Manufacturing costs]]</f>
        <v>1170.0073762401155</v>
      </c>
      <c r="Y46">
        <f>SupplyChain4[[#This Row],[Revenue generated]]-SupplyChain4[[#This Row],[Total Costs]]</f>
        <v>5982.2786731953993</v>
      </c>
      <c r="Z46">
        <f>IF(SupplyChain4[[#This Row],[Stock levels]]=0,"",SupplyChain4[[#This Row],[Number of products sold]]/SupplyChain4[[#This Row],[Stock levels]])</f>
        <v>70.692307692307693</v>
      </c>
      <c r="AA46">
        <f>IFERROR(SupplyChain4[[#This Row],[Revenue generated]]/SupplyChain4[[#This Row],[Number of products sold]],0)</f>
        <v>7.7826834052617135</v>
      </c>
      <c r="AB46">
        <f>IFERROR(SupplyChain4[[#This Row],[Shipping costs]]/SupplyChain4[[#This Row],[Number of products sold]],0)</f>
        <v>0.58433079434167579</v>
      </c>
      <c r="AC46">
        <f>SupplyChain4[[#This Row],[Supplier Lead time]]+SupplyChain4[[#This Row],[Shipping times]]+SupplyChain4[[#This Row],[Manufacturing lead time]]</f>
        <v>43</v>
      </c>
    </row>
    <row r="47" spans="1:29">
      <c r="A47" t="s">
        <v>22</v>
      </c>
      <c r="B47" t="s">
        <v>97</v>
      </c>
      <c r="C47">
        <v>33.78413803306551</v>
      </c>
      <c r="D47">
        <v>1</v>
      </c>
      <c r="E47">
        <v>24</v>
      </c>
      <c r="F47">
        <v>5267.9568075105208</v>
      </c>
      <c r="G47" t="s">
        <v>53</v>
      </c>
      <c r="H47">
        <v>93</v>
      </c>
      <c r="I47">
        <v>7</v>
      </c>
      <c r="J47">
        <v>52</v>
      </c>
      <c r="K47">
        <v>6</v>
      </c>
      <c r="L47" t="s">
        <v>25</v>
      </c>
      <c r="M47" s="13">
        <v>326</v>
      </c>
      <c r="N47" t="s">
        <v>59</v>
      </c>
      <c r="O47" t="s">
        <v>60</v>
      </c>
      <c r="P47">
        <v>794</v>
      </c>
      <c r="Q47">
        <v>25</v>
      </c>
      <c r="R47">
        <v>66.312544439991655</v>
      </c>
      <c r="S47" t="s">
        <v>62</v>
      </c>
      <c r="T47">
        <v>3.219604612084106</v>
      </c>
      <c r="U47" t="s">
        <v>45</v>
      </c>
      <c r="V47" t="s">
        <v>46</v>
      </c>
      <c r="W47">
        <v>495.30569702847396</v>
      </c>
      <c r="X47">
        <f>SupplyChain4[[#This Row],[Costs]]+SupplyChain4[[#This Row],[Shipping costs]]+SupplyChain4[[#This Row],[Manufacturing costs]]</f>
        <v>887.61824146846561</v>
      </c>
      <c r="Y47">
        <f>SupplyChain4[[#This Row],[Revenue generated]]-SupplyChain4[[#This Row],[Total Costs]]</f>
        <v>4380.3385660420554</v>
      </c>
      <c r="Z47">
        <f>IF(SupplyChain4[[#This Row],[Stock levels]]=0,"",SupplyChain4[[#This Row],[Number of products sold]]/SupplyChain4[[#This Row],[Stock levels]])</f>
        <v>0.25806451612903225</v>
      </c>
      <c r="AA47">
        <f>IFERROR(SupplyChain4[[#This Row],[Revenue generated]]/SupplyChain4[[#This Row],[Number of products sold]],0)</f>
        <v>219.49820031293837</v>
      </c>
      <c r="AB47">
        <f>IFERROR(SupplyChain4[[#This Row],[Shipping costs]]/SupplyChain4[[#This Row],[Number of products sold]],0)</f>
        <v>13.583333333333334</v>
      </c>
      <c r="AC47">
        <f>SupplyChain4[[#This Row],[Supplier Lead time]]+SupplyChain4[[#This Row],[Shipping times]]+SupplyChain4[[#This Row],[Manufacturing lead time]]</f>
        <v>38</v>
      </c>
    </row>
    <row r="48" spans="1:29">
      <c r="A48" t="s">
        <v>22</v>
      </c>
      <c r="B48" t="s">
        <v>98</v>
      </c>
      <c r="C48">
        <v>27.082207199888899</v>
      </c>
      <c r="D48">
        <v>75</v>
      </c>
      <c r="E48">
        <v>859</v>
      </c>
      <c r="F48">
        <v>2556.7673606335957</v>
      </c>
      <c r="G48" t="s">
        <v>24</v>
      </c>
      <c r="H48">
        <v>92</v>
      </c>
      <c r="I48">
        <v>29</v>
      </c>
      <c r="J48">
        <v>6</v>
      </c>
      <c r="K48">
        <v>8</v>
      </c>
      <c r="L48" t="s">
        <v>25</v>
      </c>
      <c r="M48" s="13">
        <v>1068</v>
      </c>
      <c r="N48" t="s">
        <v>26</v>
      </c>
      <c r="O48" t="s">
        <v>60</v>
      </c>
      <c r="P48">
        <v>870</v>
      </c>
      <c r="Q48">
        <v>23</v>
      </c>
      <c r="R48">
        <v>77.32235321105162</v>
      </c>
      <c r="S48" t="s">
        <v>28</v>
      </c>
      <c r="T48">
        <v>3.6486105925362033</v>
      </c>
      <c r="U48" t="s">
        <v>29</v>
      </c>
      <c r="V48" t="s">
        <v>30</v>
      </c>
      <c r="W48">
        <v>380.43593711196428</v>
      </c>
      <c r="X48">
        <f>SupplyChain4[[#This Row],[Costs]]+SupplyChain4[[#This Row],[Shipping costs]]+SupplyChain4[[#This Row],[Manufacturing costs]]</f>
        <v>1525.7582903230159</v>
      </c>
      <c r="Y48">
        <f>SupplyChain4[[#This Row],[Revenue generated]]-SupplyChain4[[#This Row],[Total Costs]]</f>
        <v>1031.0090703105798</v>
      </c>
      <c r="Z48">
        <f>IF(SupplyChain4[[#This Row],[Stock levels]]=0,"",SupplyChain4[[#This Row],[Number of products sold]]/SupplyChain4[[#This Row],[Stock levels]])</f>
        <v>9.3369565217391308</v>
      </c>
      <c r="AA48">
        <f>IFERROR(SupplyChain4[[#This Row],[Revenue generated]]/SupplyChain4[[#This Row],[Number of products sold]],0)</f>
        <v>2.976446287117108</v>
      </c>
      <c r="AB48">
        <f>IFERROR(SupplyChain4[[#This Row],[Shipping costs]]/SupplyChain4[[#This Row],[Number of products sold]],0)</f>
        <v>1.2433061699650756</v>
      </c>
      <c r="AC48">
        <f>SupplyChain4[[#This Row],[Supplier Lead time]]+SupplyChain4[[#This Row],[Shipping times]]+SupplyChain4[[#This Row],[Manufacturing lead time]]</f>
        <v>60</v>
      </c>
    </row>
    <row r="49" spans="1:29">
      <c r="A49" t="s">
        <v>31</v>
      </c>
      <c r="B49" t="s">
        <v>99</v>
      </c>
      <c r="C49">
        <v>95.712135880936088</v>
      </c>
      <c r="D49">
        <v>93</v>
      </c>
      <c r="E49">
        <v>910</v>
      </c>
      <c r="F49">
        <v>7089.4742499341864</v>
      </c>
      <c r="G49" t="s">
        <v>53</v>
      </c>
      <c r="H49">
        <v>4</v>
      </c>
      <c r="I49">
        <v>15</v>
      </c>
      <c r="J49">
        <v>51</v>
      </c>
      <c r="K49">
        <v>9</v>
      </c>
      <c r="L49" t="s">
        <v>25</v>
      </c>
      <c r="M49" s="13">
        <v>712</v>
      </c>
      <c r="N49" t="s">
        <v>37</v>
      </c>
      <c r="O49" t="s">
        <v>43</v>
      </c>
      <c r="P49">
        <v>964</v>
      </c>
      <c r="Q49">
        <v>20</v>
      </c>
      <c r="R49">
        <v>19.712992911293647</v>
      </c>
      <c r="S49" t="s">
        <v>28</v>
      </c>
      <c r="T49">
        <v>0.38057358671321373</v>
      </c>
      <c r="U49" t="s">
        <v>45</v>
      </c>
      <c r="V49" t="s">
        <v>46</v>
      </c>
      <c r="W49">
        <v>581.60235505058677</v>
      </c>
      <c r="X49">
        <f>SupplyChain4[[#This Row],[Costs]]+SupplyChain4[[#This Row],[Shipping costs]]+SupplyChain4[[#This Row],[Manufacturing costs]]</f>
        <v>1313.3153479618804</v>
      </c>
      <c r="Y49">
        <f>SupplyChain4[[#This Row],[Revenue generated]]-SupplyChain4[[#This Row],[Total Costs]]</f>
        <v>5776.158901972306</v>
      </c>
      <c r="Z49">
        <f>IF(SupplyChain4[[#This Row],[Stock levels]]=0,"",SupplyChain4[[#This Row],[Number of products sold]]/SupplyChain4[[#This Row],[Stock levels]])</f>
        <v>227.5</v>
      </c>
      <c r="AA49">
        <f>IFERROR(SupplyChain4[[#This Row],[Revenue generated]]/SupplyChain4[[#This Row],[Number of products sold]],0)</f>
        <v>7.790631043883721</v>
      </c>
      <c r="AB49">
        <f>IFERROR(SupplyChain4[[#This Row],[Shipping costs]]/SupplyChain4[[#This Row],[Number of products sold]],0)</f>
        <v>0.78241758241758241</v>
      </c>
      <c r="AC49">
        <f>SupplyChain4[[#This Row],[Supplier Lead time]]+SupplyChain4[[#This Row],[Shipping times]]+SupplyChain4[[#This Row],[Manufacturing lead time]]</f>
        <v>44</v>
      </c>
    </row>
    <row r="50" spans="1:29">
      <c r="A50" t="s">
        <v>22</v>
      </c>
      <c r="B50" t="s">
        <v>100</v>
      </c>
      <c r="C50">
        <v>76.035544426891718</v>
      </c>
      <c r="D50">
        <v>28</v>
      </c>
      <c r="E50">
        <v>29</v>
      </c>
      <c r="F50">
        <v>7397.0710045871801</v>
      </c>
      <c r="G50" t="s">
        <v>24</v>
      </c>
      <c r="H50">
        <v>30</v>
      </c>
      <c r="I50">
        <v>16</v>
      </c>
      <c r="J50">
        <v>9</v>
      </c>
      <c r="K50">
        <v>3</v>
      </c>
      <c r="L50" t="s">
        <v>41</v>
      </c>
      <c r="M50" s="13">
        <v>464</v>
      </c>
      <c r="N50" t="s">
        <v>59</v>
      </c>
      <c r="O50" t="s">
        <v>27</v>
      </c>
      <c r="P50">
        <v>109</v>
      </c>
      <c r="Q50">
        <v>18</v>
      </c>
      <c r="R50">
        <v>23.126363582464776</v>
      </c>
      <c r="S50" t="s">
        <v>44</v>
      </c>
      <c r="T50">
        <v>1.6981125407144038</v>
      </c>
      <c r="U50" t="s">
        <v>45</v>
      </c>
      <c r="V50" t="s">
        <v>30</v>
      </c>
      <c r="W50">
        <v>768.65191395437</v>
      </c>
      <c r="X50">
        <f>SupplyChain4[[#This Row],[Costs]]+SupplyChain4[[#This Row],[Shipping costs]]+SupplyChain4[[#This Row],[Manufacturing costs]]</f>
        <v>1255.7782775368348</v>
      </c>
      <c r="Y50">
        <f>SupplyChain4[[#This Row],[Revenue generated]]-SupplyChain4[[#This Row],[Total Costs]]</f>
        <v>6141.2927270503451</v>
      </c>
      <c r="Z50">
        <f>IF(SupplyChain4[[#This Row],[Stock levels]]=0,"",SupplyChain4[[#This Row],[Number of products sold]]/SupplyChain4[[#This Row],[Stock levels]])</f>
        <v>0.96666666666666667</v>
      </c>
      <c r="AA50">
        <f>IFERROR(SupplyChain4[[#This Row],[Revenue generated]]/SupplyChain4[[#This Row],[Number of products sold]],0)</f>
        <v>255.07141395128207</v>
      </c>
      <c r="AB50">
        <f>IFERROR(SupplyChain4[[#This Row],[Shipping costs]]/SupplyChain4[[#This Row],[Number of products sold]],0)</f>
        <v>16</v>
      </c>
      <c r="AC50">
        <f>SupplyChain4[[#This Row],[Supplier Lead time]]+SupplyChain4[[#This Row],[Shipping times]]+SupplyChain4[[#This Row],[Manufacturing lead time]]</f>
        <v>37</v>
      </c>
    </row>
    <row r="51" spans="1:29">
      <c r="A51" t="s">
        <v>55</v>
      </c>
      <c r="B51" t="s">
        <v>101</v>
      </c>
      <c r="C51">
        <v>78.897913205640037</v>
      </c>
      <c r="D51">
        <v>19</v>
      </c>
      <c r="E51">
        <v>99</v>
      </c>
      <c r="F51">
        <v>8001.6132065190022</v>
      </c>
      <c r="G51" t="s">
        <v>36</v>
      </c>
      <c r="H51">
        <v>97</v>
      </c>
      <c r="I51">
        <v>24</v>
      </c>
      <c r="J51">
        <v>9</v>
      </c>
      <c r="K51">
        <v>6</v>
      </c>
      <c r="L51" t="s">
        <v>41</v>
      </c>
      <c r="M51" s="13">
        <v>384</v>
      </c>
      <c r="N51" t="s">
        <v>42</v>
      </c>
      <c r="O51" t="s">
        <v>48</v>
      </c>
      <c r="P51">
        <v>177</v>
      </c>
      <c r="Q51">
        <v>28</v>
      </c>
      <c r="R51">
        <v>14.147815443979217</v>
      </c>
      <c r="S51" t="s">
        <v>62</v>
      </c>
      <c r="T51">
        <v>2.8258139854001318</v>
      </c>
      <c r="U51" t="s">
        <v>45</v>
      </c>
      <c r="V51" t="s">
        <v>46</v>
      </c>
      <c r="W51">
        <v>336.89016851997792</v>
      </c>
      <c r="X51">
        <f>SupplyChain4[[#This Row],[Costs]]+SupplyChain4[[#This Row],[Shipping costs]]+SupplyChain4[[#This Row],[Manufacturing costs]]</f>
        <v>735.03798396395712</v>
      </c>
      <c r="Y51">
        <f>SupplyChain4[[#This Row],[Revenue generated]]-SupplyChain4[[#This Row],[Total Costs]]</f>
        <v>7266.575222555045</v>
      </c>
      <c r="Z51">
        <f>IF(SupplyChain4[[#This Row],[Stock levels]]=0,"",SupplyChain4[[#This Row],[Number of products sold]]/SupplyChain4[[#This Row],[Stock levels]])</f>
        <v>1.0206185567010309</v>
      </c>
      <c r="AA51">
        <f>IFERROR(SupplyChain4[[#This Row],[Revenue generated]]/SupplyChain4[[#This Row],[Number of products sold]],0)</f>
        <v>80.824375823424262</v>
      </c>
      <c r="AB51">
        <f>IFERROR(SupplyChain4[[#This Row],[Shipping costs]]/SupplyChain4[[#This Row],[Number of products sold]],0)</f>
        <v>3.8787878787878789</v>
      </c>
      <c r="AC51">
        <f>SupplyChain4[[#This Row],[Supplier Lead time]]+SupplyChain4[[#This Row],[Shipping times]]+SupplyChain4[[#This Row],[Manufacturing lead time]]</f>
        <v>58</v>
      </c>
    </row>
    <row r="52" spans="1:29">
      <c r="A52" t="s">
        <v>55</v>
      </c>
      <c r="B52" t="s">
        <v>102</v>
      </c>
      <c r="C52">
        <v>14.203484264803022</v>
      </c>
      <c r="D52">
        <v>91</v>
      </c>
      <c r="E52">
        <v>633</v>
      </c>
      <c r="F52">
        <v>5910.8853896688988</v>
      </c>
      <c r="G52" t="s">
        <v>33</v>
      </c>
      <c r="H52">
        <v>31</v>
      </c>
      <c r="I52">
        <v>23</v>
      </c>
      <c r="J52">
        <v>82</v>
      </c>
      <c r="K52">
        <v>10</v>
      </c>
      <c r="L52" t="s">
        <v>34</v>
      </c>
      <c r="M52" s="13">
        <v>615</v>
      </c>
      <c r="N52" t="s">
        <v>59</v>
      </c>
      <c r="O52" t="s">
        <v>48</v>
      </c>
      <c r="P52">
        <v>306</v>
      </c>
      <c r="Q52">
        <v>21</v>
      </c>
      <c r="R52">
        <v>45.178757924634517</v>
      </c>
      <c r="S52" t="s">
        <v>44</v>
      </c>
      <c r="T52">
        <v>4.7548008046711852</v>
      </c>
      <c r="U52" t="s">
        <v>45</v>
      </c>
      <c r="V52" t="s">
        <v>30</v>
      </c>
      <c r="W52">
        <v>496.24865029194046</v>
      </c>
      <c r="X52">
        <f>SupplyChain4[[#This Row],[Costs]]+SupplyChain4[[#This Row],[Shipping costs]]+SupplyChain4[[#This Row],[Manufacturing costs]]</f>
        <v>1156.427408216575</v>
      </c>
      <c r="Y52">
        <f>SupplyChain4[[#This Row],[Revenue generated]]-SupplyChain4[[#This Row],[Total Costs]]</f>
        <v>4754.457981452324</v>
      </c>
      <c r="Z52">
        <f>IF(SupplyChain4[[#This Row],[Stock levels]]=0,"",SupplyChain4[[#This Row],[Number of products sold]]/SupplyChain4[[#This Row],[Stock levels]])</f>
        <v>20.419354838709676</v>
      </c>
      <c r="AA52">
        <f>IFERROR(SupplyChain4[[#This Row],[Revenue generated]]/SupplyChain4[[#This Row],[Number of products sold]],0)</f>
        <v>9.3378916108513401</v>
      </c>
      <c r="AB52">
        <f>IFERROR(SupplyChain4[[#This Row],[Shipping costs]]/SupplyChain4[[#This Row],[Number of products sold]],0)</f>
        <v>0.97156398104265407</v>
      </c>
      <c r="AC52">
        <f>SupplyChain4[[#This Row],[Supplier Lead time]]+SupplyChain4[[#This Row],[Shipping times]]+SupplyChain4[[#This Row],[Manufacturing lead time]]</f>
        <v>54</v>
      </c>
    </row>
    <row r="53" spans="1:29">
      <c r="A53" t="s">
        <v>22</v>
      </c>
      <c r="B53" t="s">
        <v>103</v>
      </c>
      <c r="C53">
        <v>26.70076097246173</v>
      </c>
      <c r="D53">
        <v>61</v>
      </c>
      <c r="E53">
        <v>154</v>
      </c>
      <c r="F53">
        <v>9866.465457979697</v>
      </c>
      <c r="G53" t="s">
        <v>53</v>
      </c>
      <c r="H53">
        <v>100</v>
      </c>
      <c r="I53">
        <v>4</v>
      </c>
      <c r="J53">
        <v>52</v>
      </c>
      <c r="K53">
        <v>1</v>
      </c>
      <c r="L53" t="s">
        <v>34</v>
      </c>
      <c r="M53" s="13">
        <v>484</v>
      </c>
      <c r="N53" t="s">
        <v>42</v>
      </c>
      <c r="O53" t="s">
        <v>51</v>
      </c>
      <c r="P53">
        <v>673</v>
      </c>
      <c r="Q53">
        <v>28</v>
      </c>
      <c r="R53">
        <v>14.190328344569981</v>
      </c>
      <c r="S53" t="s">
        <v>28</v>
      </c>
      <c r="T53">
        <v>1.7729511720835571</v>
      </c>
      <c r="U53" t="s">
        <v>29</v>
      </c>
      <c r="V53" t="s">
        <v>46</v>
      </c>
      <c r="W53">
        <v>694.98231757944586</v>
      </c>
      <c r="X53">
        <f>SupplyChain4[[#This Row],[Costs]]+SupplyChain4[[#This Row],[Shipping costs]]+SupplyChain4[[#This Row],[Manufacturing costs]]</f>
        <v>1193.1726459240158</v>
      </c>
      <c r="Y53">
        <f>SupplyChain4[[#This Row],[Revenue generated]]-SupplyChain4[[#This Row],[Total Costs]]</f>
        <v>8673.2928120556808</v>
      </c>
      <c r="Z53">
        <f>IF(SupplyChain4[[#This Row],[Stock levels]]=0,"",SupplyChain4[[#This Row],[Number of products sold]]/SupplyChain4[[#This Row],[Stock levels]])</f>
        <v>1.54</v>
      </c>
      <c r="AA53">
        <f>IFERROR(SupplyChain4[[#This Row],[Revenue generated]]/SupplyChain4[[#This Row],[Number of products sold]],0)</f>
        <v>64.067957519348681</v>
      </c>
      <c r="AB53">
        <f>IFERROR(SupplyChain4[[#This Row],[Shipping costs]]/SupplyChain4[[#This Row],[Number of products sold]],0)</f>
        <v>3.1428571428571428</v>
      </c>
      <c r="AC53">
        <f>SupplyChain4[[#This Row],[Supplier Lead time]]+SupplyChain4[[#This Row],[Shipping times]]+SupplyChain4[[#This Row],[Manufacturing lead time]]</f>
        <v>33</v>
      </c>
    </row>
    <row r="54" spans="1:29">
      <c r="A54" t="s">
        <v>31</v>
      </c>
      <c r="B54" t="s">
        <v>104</v>
      </c>
      <c r="C54">
        <v>98.031829656465078</v>
      </c>
      <c r="D54">
        <v>1</v>
      </c>
      <c r="E54">
        <v>820</v>
      </c>
      <c r="F54">
        <v>9435.7626089121295</v>
      </c>
      <c r="G54" t="s">
        <v>53</v>
      </c>
      <c r="H54">
        <v>64</v>
      </c>
      <c r="I54">
        <v>11</v>
      </c>
      <c r="J54">
        <v>11</v>
      </c>
      <c r="K54">
        <v>1</v>
      </c>
      <c r="L54" t="s">
        <v>25</v>
      </c>
      <c r="M54" s="13">
        <v>583</v>
      </c>
      <c r="N54" t="s">
        <v>37</v>
      </c>
      <c r="O54" t="s">
        <v>27</v>
      </c>
      <c r="P54">
        <v>727</v>
      </c>
      <c r="Q54">
        <v>27</v>
      </c>
      <c r="R54">
        <v>9.1668491485971515</v>
      </c>
      <c r="S54" t="s">
        <v>28</v>
      </c>
      <c r="T54">
        <v>2.1224716191438247</v>
      </c>
      <c r="U54" t="s">
        <v>38</v>
      </c>
      <c r="V54" t="s">
        <v>39</v>
      </c>
      <c r="W54">
        <v>602.89849883838338</v>
      </c>
      <c r="X54">
        <f>SupplyChain4[[#This Row],[Costs]]+SupplyChain4[[#This Row],[Shipping costs]]+SupplyChain4[[#This Row],[Manufacturing costs]]</f>
        <v>1195.0653479869804</v>
      </c>
      <c r="Y54">
        <f>SupplyChain4[[#This Row],[Revenue generated]]-SupplyChain4[[#This Row],[Total Costs]]</f>
        <v>8240.6972609251497</v>
      </c>
      <c r="Z54">
        <f>IF(SupplyChain4[[#This Row],[Stock levels]]=0,"",SupplyChain4[[#This Row],[Number of products sold]]/SupplyChain4[[#This Row],[Stock levels]])</f>
        <v>12.8125</v>
      </c>
      <c r="AA54">
        <f>IFERROR(SupplyChain4[[#This Row],[Revenue generated]]/SupplyChain4[[#This Row],[Number of products sold]],0)</f>
        <v>11.507027571844061</v>
      </c>
      <c r="AB54">
        <f>IFERROR(SupplyChain4[[#This Row],[Shipping costs]]/SupplyChain4[[#This Row],[Number of products sold]],0)</f>
        <v>0.71097560975609753</v>
      </c>
      <c r="AC54">
        <f>SupplyChain4[[#This Row],[Supplier Lead time]]+SupplyChain4[[#This Row],[Shipping times]]+SupplyChain4[[#This Row],[Manufacturing lead time]]</f>
        <v>39</v>
      </c>
    </row>
    <row r="55" spans="1:29">
      <c r="A55" t="s">
        <v>31</v>
      </c>
      <c r="B55" t="s">
        <v>105</v>
      </c>
      <c r="C55">
        <v>30.341470711214214</v>
      </c>
      <c r="D55">
        <v>93</v>
      </c>
      <c r="E55">
        <v>242</v>
      </c>
      <c r="F55">
        <v>8232.3348294258212</v>
      </c>
      <c r="G55" t="s">
        <v>53</v>
      </c>
      <c r="H55">
        <v>96</v>
      </c>
      <c r="I55">
        <v>25</v>
      </c>
      <c r="J55">
        <v>54</v>
      </c>
      <c r="K55">
        <v>3</v>
      </c>
      <c r="L55" t="s">
        <v>25</v>
      </c>
      <c r="M55" s="13">
        <v>923</v>
      </c>
      <c r="N55" t="s">
        <v>37</v>
      </c>
      <c r="O55" t="s">
        <v>48</v>
      </c>
      <c r="P55">
        <v>631</v>
      </c>
      <c r="Q55">
        <v>17</v>
      </c>
      <c r="R55">
        <v>83.344058991677969</v>
      </c>
      <c r="S55" t="s">
        <v>28</v>
      </c>
      <c r="T55">
        <v>1.4103475760760271</v>
      </c>
      <c r="U55" t="s">
        <v>38</v>
      </c>
      <c r="V55" t="s">
        <v>30</v>
      </c>
      <c r="W55">
        <v>750.73784066827091</v>
      </c>
      <c r="X55">
        <f>SupplyChain4[[#This Row],[Costs]]+SupplyChain4[[#This Row],[Shipping costs]]+SupplyChain4[[#This Row],[Manufacturing costs]]</f>
        <v>1757.0818996599489</v>
      </c>
      <c r="Y55">
        <f>SupplyChain4[[#This Row],[Revenue generated]]-SupplyChain4[[#This Row],[Total Costs]]</f>
        <v>6475.2529297658721</v>
      </c>
      <c r="Z55">
        <f>IF(SupplyChain4[[#This Row],[Stock levels]]=0,"",SupplyChain4[[#This Row],[Number of products sold]]/SupplyChain4[[#This Row],[Stock levels]])</f>
        <v>2.5208333333333335</v>
      </c>
      <c r="AA55">
        <f>IFERROR(SupplyChain4[[#This Row],[Revenue generated]]/SupplyChain4[[#This Row],[Number of products sold]],0)</f>
        <v>34.017912518288519</v>
      </c>
      <c r="AB55">
        <f>IFERROR(SupplyChain4[[#This Row],[Shipping costs]]/SupplyChain4[[#This Row],[Number of products sold]],0)</f>
        <v>3.8140495867768593</v>
      </c>
      <c r="AC55">
        <f>SupplyChain4[[#This Row],[Supplier Lead time]]+SupplyChain4[[#This Row],[Shipping times]]+SupplyChain4[[#This Row],[Manufacturing lead time]]</f>
        <v>45</v>
      </c>
    </row>
    <row r="56" spans="1:29">
      <c r="A56" t="s">
        <v>22</v>
      </c>
      <c r="B56" t="s">
        <v>106</v>
      </c>
      <c r="C56">
        <v>31.146243160240854</v>
      </c>
      <c r="D56">
        <v>11</v>
      </c>
      <c r="E56">
        <v>622</v>
      </c>
      <c r="F56">
        <v>6088.0214799408586</v>
      </c>
      <c r="G56" t="s">
        <v>24</v>
      </c>
      <c r="H56">
        <v>33</v>
      </c>
      <c r="I56">
        <v>22</v>
      </c>
      <c r="J56">
        <v>61</v>
      </c>
      <c r="K56">
        <v>3</v>
      </c>
      <c r="L56" t="s">
        <v>25</v>
      </c>
      <c r="M56" s="13">
        <v>239</v>
      </c>
      <c r="N56" t="s">
        <v>37</v>
      </c>
      <c r="O56" t="s">
        <v>43</v>
      </c>
      <c r="P56">
        <v>497</v>
      </c>
      <c r="Q56">
        <v>29</v>
      </c>
      <c r="R56">
        <v>30.186023375822508</v>
      </c>
      <c r="S56" t="s">
        <v>62</v>
      </c>
      <c r="T56">
        <v>2.4787719755397477</v>
      </c>
      <c r="U56" t="s">
        <v>29</v>
      </c>
      <c r="V56" t="s">
        <v>30</v>
      </c>
      <c r="W56">
        <v>814.06999658218751</v>
      </c>
      <c r="X56">
        <f>SupplyChain4[[#This Row],[Costs]]+SupplyChain4[[#This Row],[Shipping costs]]+SupplyChain4[[#This Row],[Manufacturing costs]]</f>
        <v>1083.25601995801</v>
      </c>
      <c r="Y56">
        <f>SupplyChain4[[#This Row],[Revenue generated]]-SupplyChain4[[#This Row],[Total Costs]]</f>
        <v>5004.7654599828484</v>
      </c>
      <c r="Z56">
        <f>IF(SupplyChain4[[#This Row],[Stock levels]]=0,"",SupplyChain4[[#This Row],[Number of products sold]]/SupplyChain4[[#This Row],[Stock levels]])</f>
        <v>18.848484848484848</v>
      </c>
      <c r="AA56">
        <f>IFERROR(SupplyChain4[[#This Row],[Revenue generated]]/SupplyChain4[[#This Row],[Number of products sold]],0)</f>
        <v>9.7878158841492908</v>
      </c>
      <c r="AB56">
        <f>IFERROR(SupplyChain4[[#This Row],[Shipping costs]]/SupplyChain4[[#This Row],[Number of products sold]],0)</f>
        <v>0.38424437299035369</v>
      </c>
      <c r="AC56">
        <f>SupplyChain4[[#This Row],[Supplier Lead time]]+SupplyChain4[[#This Row],[Shipping times]]+SupplyChain4[[#This Row],[Manufacturing lead time]]</f>
        <v>54</v>
      </c>
    </row>
    <row r="57" spans="1:29">
      <c r="A57" t="s">
        <v>22</v>
      </c>
      <c r="B57" t="s">
        <v>107</v>
      </c>
      <c r="C57">
        <v>79.855058340789427</v>
      </c>
      <c r="D57">
        <v>16</v>
      </c>
      <c r="E57">
        <v>701</v>
      </c>
      <c r="F57">
        <v>2925.6751703038126</v>
      </c>
      <c r="G57" t="s">
        <v>53</v>
      </c>
      <c r="H57">
        <v>97</v>
      </c>
      <c r="I57">
        <v>11</v>
      </c>
      <c r="J57">
        <v>11</v>
      </c>
      <c r="K57">
        <v>5</v>
      </c>
      <c r="L57" t="s">
        <v>34</v>
      </c>
      <c r="M57" s="13">
        <v>1170</v>
      </c>
      <c r="N57" t="s">
        <v>59</v>
      </c>
      <c r="O57" t="s">
        <v>48</v>
      </c>
      <c r="P57">
        <v>918</v>
      </c>
      <c r="Q57">
        <v>5</v>
      </c>
      <c r="R57">
        <v>30.323545256616502</v>
      </c>
      <c r="S57" t="s">
        <v>44</v>
      </c>
      <c r="T57">
        <v>4.5489196593963852</v>
      </c>
      <c r="U57" t="s">
        <v>54</v>
      </c>
      <c r="V57" t="s">
        <v>30</v>
      </c>
      <c r="W57">
        <v>323.01292795247883</v>
      </c>
      <c r="X57">
        <f>SupplyChain4[[#This Row],[Costs]]+SupplyChain4[[#This Row],[Shipping costs]]+SupplyChain4[[#This Row],[Manufacturing costs]]</f>
        <v>1523.3364732090952</v>
      </c>
      <c r="Y57">
        <f>SupplyChain4[[#This Row],[Revenue generated]]-SupplyChain4[[#This Row],[Total Costs]]</f>
        <v>1402.3386970947174</v>
      </c>
      <c r="Z57">
        <f>IF(SupplyChain4[[#This Row],[Stock levels]]=0,"",SupplyChain4[[#This Row],[Number of products sold]]/SupplyChain4[[#This Row],[Stock levels]])</f>
        <v>7.2268041237113403</v>
      </c>
      <c r="AA57">
        <f>IFERROR(SupplyChain4[[#This Row],[Revenue generated]]/SupplyChain4[[#This Row],[Number of products sold]],0)</f>
        <v>4.1735737094205598</v>
      </c>
      <c r="AB57">
        <f>IFERROR(SupplyChain4[[#This Row],[Shipping costs]]/SupplyChain4[[#This Row],[Number of products sold]],0)</f>
        <v>1.6690442225392297</v>
      </c>
      <c r="AC57">
        <f>SupplyChain4[[#This Row],[Supplier Lead time]]+SupplyChain4[[#This Row],[Shipping times]]+SupplyChain4[[#This Row],[Manufacturing lead time]]</f>
        <v>21</v>
      </c>
    </row>
    <row r="58" spans="1:29">
      <c r="A58" t="s">
        <v>31</v>
      </c>
      <c r="B58" t="s">
        <v>108</v>
      </c>
      <c r="C58">
        <v>20.986386037043378</v>
      </c>
      <c r="D58">
        <v>90</v>
      </c>
      <c r="E58">
        <v>93</v>
      </c>
      <c r="F58">
        <v>4767.020484344137</v>
      </c>
      <c r="G58" t="s">
        <v>24</v>
      </c>
      <c r="H58">
        <v>25</v>
      </c>
      <c r="I58">
        <v>23</v>
      </c>
      <c r="J58">
        <v>83</v>
      </c>
      <c r="K58">
        <v>5</v>
      </c>
      <c r="L58" t="s">
        <v>41</v>
      </c>
      <c r="M58" s="13">
        <v>1083</v>
      </c>
      <c r="N58" t="s">
        <v>37</v>
      </c>
      <c r="O58" t="s">
        <v>27</v>
      </c>
      <c r="P58">
        <v>826</v>
      </c>
      <c r="Q58">
        <v>28</v>
      </c>
      <c r="R58">
        <v>12.836284572832753</v>
      </c>
      <c r="S58" t="s">
        <v>62</v>
      </c>
      <c r="T58">
        <v>1.1737554953874541</v>
      </c>
      <c r="U58" t="s">
        <v>38</v>
      </c>
      <c r="V58" t="s">
        <v>30</v>
      </c>
      <c r="W58">
        <v>832.21080870602168</v>
      </c>
      <c r="X58">
        <f>SupplyChain4[[#This Row],[Costs]]+SupplyChain4[[#This Row],[Shipping costs]]+SupplyChain4[[#This Row],[Manufacturing costs]]</f>
        <v>1928.0470932788544</v>
      </c>
      <c r="Y58">
        <f>SupplyChain4[[#This Row],[Revenue generated]]-SupplyChain4[[#This Row],[Total Costs]]</f>
        <v>2838.9733910652826</v>
      </c>
      <c r="Z58">
        <f>IF(SupplyChain4[[#This Row],[Stock levels]]=0,"",SupplyChain4[[#This Row],[Number of products sold]]/SupplyChain4[[#This Row],[Stock levels]])</f>
        <v>3.72</v>
      </c>
      <c r="AA58">
        <f>IFERROR(SupplyChain4[[#This Row],[Revenue generated]]/SupplyChain4[[#This Row],[Number of products sold]],0)</f>
        <v>51.258284777893948</v>
      </c>
      <c r="AB58">
        <f>IFERROR(SupplyChain4[[#This Row],[Shipping costs]]/SupplyChain4[[#This Row],[Number of products sold]],0)</f>
        <v>11.64516129032258</v>
      </c>
      <c r="AC58">
        <f>SupplyChain4[[#This Row],[Supplier Lead time]]+SupplyChain4[[#This Row],[Shipping times]]+SupplyChain4[[#This Row],[Manufacturing lead time]]</f>
        <v>56</v>
      </c>
    </row>
    <row r="59" spans="1:29">
      <c r="A59" t="s">
        <v>22</v>
      </c>
      <c r="B59" t="s">
        <v>109</v>
      </c>
      <c r="C59">
        <v>49.263205350734154</v>
      </c>
      <c r="D59">
        <v>65</v>
      </c>
      <c r="E59">
        <v>227</v>
      </c>
      <c r="F59">
        <v>1605.8669003924058</v>
      </c>
      <c r="G59" t="s">
        <v>36</v>
      </c>
      <c r="H59">
        <v>5</v>
      </c>
      <c r="I59">
        <v>18</v>
      </c>
      <c r="J59">
        <v>51</v>
      </c>
      <c r="K59">
        <v>1</v>
      </c>
      <c r="L59" t="s">
        <v>25</v>
      </c>
      <c r="M59" s="13">
        <v>690</v>
      </c>
      <c r="N59" t="s">
        <v>59</v>
      </c>
      <c r="O59" t="s">
        <v>48</v>
      </c>
      <c r="P59">
        <v>588</v>
      </c>
      <c r="Q59">
        <v>25</v>
      </c>
      <c r="R59">
        <v>67.779622987078142</v>
      </c>
      <c r="S59" t="s">
        <v>28</v>
      </c>
      <c r="T59">
        <v>2.511174830212707</v>
      </c>
      <c r="U59" t="s">
        <v>45</v>
      </c>
      <c r="V59" t="s">
        <v>46</v>
      </c>
      <c r="W59">
        <v>482.19123860252813</v>
      </c>
      <c r="X59">
        <f>SupplyChain4[[#This Row],[Costs]]+SupplyChain4[[#This Row],[Shipping costs]]+SupplyChain4[[#This Row],[Manufacturing costs]]</f>
        <v>1239.9708615896061</v>
      </c>
      <c r="Y59">
        <f>SupplyChain4[[#This Row],[Revenue generated]]-SupplyChain4[[#This Row],[Total Costs]]</f>
        <v>365.89603880279969</v>
      </c>
      <c r="Z59">
        <f>IF(SupplyChain4[[#This Row],[Stock levels]]=0,"",SupplyChain4[[#This Row],[Number of products sold]]/SupplyChain4[[#This Row],[Stock levels]])</f>
        <v>45.4</v>
      </c>
      <c r="AA59">
        <f>IFERROR(SupplyChain4[[#This Row],[Revenue generated]]/SupplyChain4[[#This Row],[Number of products sold]],0)</f>
        <v>7.0743035259577347</v>
      </c>
      <c r="AB59">
        <f>IFERROR(SupplyChain4[[#This Row],[Shipping costs]]/SupplyChain4[[#This Row],[Number of products sold]],0)</f>
        <v>3.0396475770925111</v>
      </c>
      <c r="AC59">
        <f>SupplyChain4[[#This Row],[Supplier Lead time]]+SupplyChain4[[#This Row],[Shipping times]]+SupplyChain4[[#This Row],[Manufacturing lead time]]</f>
        <v>44</v>
      </c>
    </row>
    <row r="60" spans="1:29">
      <c r="A60" t="s">
        <v>31</v>
      </c>
      <c r="B60" t="s">
        <v>110</v>
      </c>
      <c r="C60">
        <v>59.84156137728931</v>
      </c>
      <c r="D60">
        <v>81</v>
      </c>
      <c r="E60">
        <v>896</v>
      </c>
      <c r="F60">
        <v>2021.1498103371077</v>
      </c>
      <c r="G60" t="s">
        <v>24</v>
      </c>
      <c r="H60">
        <v>10</v>
      </c>
      <c r="I60">
        <v>5</v>
      </c>
      <c r="J60">
        <v>44</v>
      </c>
      <c r="K60">
        <v>7</v>
      </c>
      <c r="L60" t="s">
        <v>34</v>
      </c>
      <c r="M60" s="13">
        <v>834</v>
      </c>
      <c r="N60" t="s">
        <v>26</v>
      </c>
      <c r="O60" t="s">
        <v>48</v>
      </c>
      <c r="P60">
        <v>396</v>
      </c>
      <c r="Q60">
        <v>7</v>
      </c>
      <c r="R60">
        <v>65.047415094691459</v>
      </c>
      <c r="S60" t="s">
        <v>44</v>
      </c>
      <c r="T60">
        <v>1.7303747198591968</v>
      </c>
      <c r="U60" t="s">
        <v>29</v>
      </c>
      <c r="V60" t="s">
        <v>30</v>
      </c>
      <c r="W60">
        <v>110.36433523136472</v>
      </c>
      <c r="X60">
        <f>SupplyChain4[[#This Row],[Costs]]+SupplyChain4[[#This Row],[Shipping costs]]+SupplyChain4[[#This Row],[Manufacturing costs]]</f>
        <v>1009.4117503260562</v>
      </c>
      <c r="Y60">
        <f>SupplyChain4[[#This Row],[Revenue generated]]-SupplyChain4[[#This Row],[Total Costs]]</f>
        <v>1011.7380600110515</v>
      </c>
      <c r="Z60">
        <f>IF(SupplyChain4[[#This Row],[Stock levels]]=0,"",SupplyChain4[[#This Row],[Number of products sold]]/SupplyChain4[[#This Row],[Stock levels]])</f>
        <v>89.6</v>
      </c>
      <c r="AA60">
        <f>IFERROR(SupplyChain4[[#This Row],[Revenue generated]]/SupplyChain4[[#This Row],[Number of products sold]],0)</f>
        <v>2.2557475561798079</v>
      </c>
      <c r="AB60">
        <f>IFERROR(SupplyChain4[[#This Row],[Shipping costs]]/SupplyChain4[[#This Row],[Number of products sold]],0)</f>
        <v>0.9308035714285714</v>
      </c>
      <c r="AC60">
        <f>SupplyChain4[[#This Row],[Supplier Lead time]]+SupplyChain4[[#This Row],[Shipping times]]+SupplyChain4[[#This Row],[Manufacturing lead time]]</f>
        <v>19</v>
      </c>
    </row>
    <row r="61" spans="1:29">
      <c r="A61" t="s">
        <v>55</v>
      </c>
      <c r="B61" t="s">
        <v>111</v>
      </c>
      <c r="C61">
        <v>63.828398347710966</v>
      </c>
      <c r="D61">
        <v>30</v>
      </c>
      <c r="E61">
        <v>484</v>
      </c>
      <c r="F61">
        <v>1061.618523013288</v>
      </c>
      <c r="G61" t="s">
        <v>24</v>
      </c>
      <c r="H61">
        <v>100</v>
      </c>
      <c r="I61">
        <v>16</v>
      </c>
      <c r="J61">
        <v>26</v>
      </c>
      <c r="K61">
        <v>7</v>
      </c>
      <c r="L61" t="s">
        <v>25</v>
      </c>
      <c r="M61" s="13">
        <v>878</v>
      </c>
      <c r="N61" t="s">
        <v>37</v>
      </c>
      <c r="O61" t="s">
        <v>43</v>
      </c>
      <c r="P61">
        <v>176</v>
      </c>
      <c r="Q61">
        <v>4</v>
      </c>
      <c r="R61">
        <v>1.900762243519458</v>
      </c>
      <c r="S61" t="s">
        <v>44</v>
      </c>
      <c r="T61">
        <v>0.4471940154638232</v>
      </c>
      <c r="U61" t="s">
        <v>38</v>
      </c>
      <c r="V61" t="s">
        <v>46</v>
      </c>
      <c r="W61">
        <v>312.57427361009331</v>
      </c>
      <c r="X61">
        <f>SupplyChain4[[#This Row],[Costs]]+SupplyChain4[[#This Row],[Shipping costs]]+SupplyChain4[[#This Row],[Manufacturing costs]]</f>
        <v>1192.4750358536128</v>
      </c>
      <c r="Y61">
        <f>SupplyChain4[[#This Row],[Revenue generated]]-SupplyChain4[[#This Row],[Total Costs]]</f>
        <v>-130.85651284032474</v>
      </c>
      <c r="Z61">
        <f>IF(SupplyChain4[[#This Row],[Stock levels]]=0,"",SupplyChain4[[#This Row],[Number of products sold]]/SupplyChain4[[#This Row],[Stock levels]])</f>
        <v>4.84</v>
      </c>
      <c r="AA61">
        <f>IFERROR(SupplyChain4[[#This Row],[Revenue generated]]/SupplyChain4[[#This Row],[Number of products sold]],0)</f>
        <v>2.1934267004406776</v>
      </c>
      <c r="AB61">
        <f>IFERROR(SupplyChain4[[#This Row],[Shipping costs]]/SupplyChain4[[#This Row],[Number of products sold]],0)</f>
        <v>1.8140495867768596</v>
      </c>
      <c r="AC61">
        <f>SupplyChain4[[#This Row],[Supplier Lead time]]+SupplyChain4[[#This Row],[Shipping times]]+SupplyChain4[[#This Row],[Manufacturing lead time]]</f>
        <v>27</v>
      </c>
    </row>
    <row r="62" spans="1:29">
      <c r="A62" t="s">
        <v>31</v>
      </c>
      <c r="B62" t="s">
        <v>112</v>
      </c>
      <c r="C62">
        <v>17.028027920188702</v>
      </c>
      <c r="D62">
        <v>16</v>
      </c>
      <c r="E62">
        <v>380</v>
      </c>
      <c r="F62">
        <v>8864.0843495864356</v>
      </c>
      <c r="G62" t="s">
        <v>33</v>
      </c>
      <c r="H62">
        <v>41</v>
      </c>
      <c r="I62">
        <v>27</v>
      </c>
      <c r="J62">
        <v>72</v>
      </c>
      <c r="K62">
        <v>8</v>
      </c>
      <c r="L62" t="s">
        <v>41</v>
      </c>
      <c r="M62" s="13">
        <v>1043</v>
      </c>
      <c r="N62" t="s">
        <v>50</v>
      </c>
      <c r="O62" t="s">
        <v>27</v>
      </c>
      <c r="P62">
        <v>929</v>
      </c>
      <c r="Q62">
        <v>24</v>
      </c>
      <c r="R62">
        <v>87.213057815135684</v>
      </c>
      <c r="S62" t="s">
        <v>44</v>
      </c>
      <c r="T62">
        <v>2.8530906166490539</v>
      </c>
      <c r="U62" t="s">
        <v>45</v>
      </c>
      <c r="V62" t="s">
        <v>46</v>
      </c>
      <c r="W62">
        <v>430.16909697513654</v>
      </c>
      <c r="X62">
        <f>SupplyChain4[[#This Row],[Costs]]+SupplyChain4[[#This Row],[Shipping costs]]+SupplyChain4[[#This Row],[Manufacturing costs]]</f>
        <v>1560.3821547902724</v>
      </c>
      <c r="Y62">
        <f>SupplyChain4[[#This Row],[Revenue generated]]-SupplyChain4[[#This Row],[Total Costs]]</f>
        <v>7303.702194796163</v>
      </c>
      <c r="Z62">
        <f>IF(SupplyChain4[[#This Row],[Stock levels]]=0,"",SupplyChain4[[#This Row],[Number of products sold]]/SupplyChain4[[#This Row],[Stock levels]])</f>
        <v>9.2682926829268286</v>
      </c>
      <c r="AA62">
        <f>IFERROR(SupplyChain4[[#This Row],[Revenue generated]]/SupplyChain4[[#This Row],[Number of products sold]],0)</f>
        <v>23.326537762069567</v>
      </c>
      <c r="AB62">
        <f>IFERROR(SupplyChain4[[#This Row],[Shipping costs]]/SupplyChain4[[#This Row],[Number of products sold]],0)</f>
        <v>2.7447368421052634</v>
      </c>
      <c r="AC62">
        <f>SupplyChain4[[#This Row],[Supplier Lead time]]+SupplyChain4[[#This Row],[Shipping times]]+SupplyChain4[[#This Row],[Manufacturing lead time]]</f>
        <v>59</v>
      </c>
    </row>
    <row r="63" spans="1:29">
      <c r="A63" t="s">
        <v>22</v>
      </c>
      <c r="B63" t="s">
        <v>113</v>
      </c>
      <c r="C63">
        <v>52.028749903294923</v>
      </c>
      <c r="D63">
        <v>23</v>
      </c>
      <c r="E63">
        <v>117</v>
      </c>
      <c r="F63">
        <v>6885.5893508962527</v>
      </c>
      <c r="G63" t="s">
        <v>36</v>
      </c>
      <c r="H63">
        <v>32</v>
      </c>
      <c r="I63">
        <v>23</v>
      </c>
      <c r="J63">
        <v>36</v>
      </c>
      <c r="K63">
        <v>7</v>
      </c>
      <c r="L63" t="s">
        <v>41</v>
      </c>
      <c r="M63" s="13">
        <v>558</v>
      </c>
      <c r="N63" t="s">
        <v>50</v>
      </c>
      <c r="O63" t="s">
        <v>43</v>
      </c>
      <c r="P63">
        <v>480</v>
      </c>
      <c r="Q63">
        <v>12</v>
      </c>
      <c r="R63">
        <v>78.702393968878894</v>
      </c>
      <c r="S63" t="s">
        <v>44</v>
      </c>
      <c r="T63">
        <v>4.3674705382050529</v>
      </c>
      <c r="U63" t="s">
        <v>38</v>
      </c>
      <c r="V63" t="s">
        <v>46</v>
      </c>
      <c r="W63">
        <v>164.36652824341942</v>
      </c>
      <c r="X63">
        <f>SupplyChain4[[#This Row],[Costs]]+SupplyChain4[[#This Row],[Shipping costs]]+SupplyChain4[[#This Row],[Manufacturing costs]]</f>
        <v>801.06892221229839</v>
      </c>
      <c r="Y63">
        <f>SupplyChain4[[#This Row],[Revenue generated]]-SupplyChain4[[#This Row],[Total Costs]]</f>
        <v>6084.5204286839544</v>
      </c>
      <c r="Z63">
        <f>IF(SupplyChain4[[#This Row],[Stock levels]]=0,"",SupplyChain4[[#This Row],[Number of products sold]]/SupplyChain4[[#This Row],[Stock levels]])</f>
        <v>3.65625</v>
      </c>
      <c r="AA63">
        <f>IFERROR(SupplyChain4[[#This Row],[Revenue generated]]/SupplyChain4[[#This Row],[Number of products sold]],0)</f>
        <v>58.851191033301305</v>
      </c>
      <c r="AB63">
        <f>IFERROR(SupplyChain4[[#This Row],[Shipping costs]]/SupplyChain4[[#This Row],[Number of products sold]],0)</f>
        <v>4.7692307692307692</v>
      </c>
      <c r="AC63">
        <f>SupplyChain4[[#This Row],[Supplier Lead time]]+SupplyChain4[[#This Row],[Shipping times]]+SupplyChain4[[#This Row],[Manufacturing lead time]]</f>
        <v>42</v>
      </c>
    </row>
    <row r="64" spans="1:29">
      <c r="A64" t="s">
        <v>55</v>
      </c>
      <c r="B64" t="s">
        <v>114</v>
      </c>
      <c r="C64">
        <v>72.796353955587364</v>
      </c>
      <c r="D64">
        <v>89</v>
      </c>
      <c r="E64">
        <v>270</v>
      </c>
      <c r="F64">
        <v>3899.7468337292244</v>
      </c>
      <c r="G64" t="s">
        <v>36</v>
      </c>
      <c r="H64">
        <v>86</v>
      </c>
      <c r="I64">
        <v>2</v>
      </c>
      <c r="J64">
        <v>40</v>
      </c>
      <c r="K64">
        <v>7</v>
      </c>
      <c r="L64" t="s">
        <v>41</v>
      </c>
      <c r="M64" s="13">
        <v>648</v>
      </c>
      <c r="N64" t="s">
        <v>59</v>
      </c>
      <c r="O64" t="s">
        <v>27</v>
      </c>
      <c r="P64">
        <v>751</v>
      </c>
      <c r="Q64">
        <v>14</v>
      </c>
      <c r="R64">
        <v>21.048642725168644</v>
      </c>
      <c r="S64" t="s">
        <v>62</v>
      </c>
      <c r="T64">
        <v>1.8740014040443747</v>
      </c>
      <c r="U64" t="s">
        <v>54</v>
      </c>
      <c r="V64" t="s">
        <v>39</v>
      </c>
      <c r="W64">
        <v>320.84651575911158</v>
      </c>
      <c r="X64">
        <f>SupplyChain4[[#This Row],[Costs]]+SupplyChain4[[#This Row],[Shipping costs]]+SupplyChain4[[#This Row],[Manufacturing costs]]</f>
        <v>989.89515848428016</v>
      </c>
      <c r="Y64">
        <f>SupplyChain4[[#This Row],[Revenue generated]]-SupplyChain4[[#This Row],[Total Costs]]</f>
        <v>2909.8516752449441</v>
      </c>
      <c r="Z64">
        <f>IF(SupplyChain4[[#This Row],[Stock levels]]=0,"",SupplyChain4[[#This Row],[Number of products sold]]/SupplyChain4[[#This Row],[Stock levels]])</f>
        <v>3.13953488372093</v>
      </c>
      <c r="AA64">
        <f>IFERROR(SupplyChain4[[#This Row],[Revenue generated]]/SupplyChain4[[#This Row],[Number of products sold]],0)</f>
        <v>14.443506791589719</v>
      </c>
      <c r="AB64">
        <f>IFERROR(SupplyChain4[[#This Row],[Shipping costs]]/SupplyChain4[[#This Row],[Number of products sold]],0)</f>
        <v>2.4</v>
      </c>
      <c r="AC64">
        <f>SupplyChain4[[#This Row],[Supplier Lead time]]+SupplyChain4[[#This Row],[Shipping times]]+SupplyChain4[[#This Row],[Manufacturing lead time]]</f>
        <v>23</v>
      </c>
    </row>
    <row r="65" spans="1:29">
      <c r="A65" t="s">
        <v>31</v>
      </c>
      <c r="B65" t="s">
        <v>115</v>
      </c>
      <c r="C65">
        <v>13.017376785287857</v>
      </c>
      <c r="D65">
        <v>55</v>
      </c>
      <c r="E65">
        <v>246</v>
      </c>
      <c r="F65">
        <v>4256.9491408502254</v>
      </c>
      <c r="G65" t="s">
        <v>24</v>
      </c>
      <c r="H65">
        <v>54</v>
      </c>
      <c r="I65">
        <v>19</v>
      </c>
      <c r="J65">
        <v>10</v>
      </c>
      <c r="K65">
        <v>4</v>
      </c>
      <c r="L65" t="s">
        <v>34</v>
      </c>
      <c r="M65" s="13">
        <v>762</v>
      </c>
      <c r="N65" t="s">
        <v>26</v>
      </c>
      <c r="O65" t="s">
        <v>51</v>
      </c>
      <c r="P65">
        <v>736</v>
      </c>
      <c r="Q65">
        <v>10</v>
      </c>
      <c r="R65">
        <v>20.075003975630484</v>
      </c>
      <c r="S65" t="s">
        <v>28</v>
      </c>
      <c r="T65">
        <v>3.6328432903821337</v>
      </c>
      <c r="U65" t="s">
        <v>54</v>
      </c>
      <c r="V65" t="s">
        <v>46</v>
      </c>
      <c r="W65">
        <v>687.28617786641735</v>
      </c>
      <c r="X65">
        <f>SupplyChain4[[#This Row],[Costs]]+SupplyChain4[[#This Row],[Shipping costs]]+SupplyChain4[[#This Row],[Manufacturing costs]]</f>
        <v>1469.3611818420479</v>
      </c>
      <c r="Y65">
        <f>SupplyChain4[[#This Row],[Revenue generated]]-SupplyChain4[[#This Row],[Total Costs]]</f>
        <v>2787.5879590081777</v>
      </c>
      <c r="Z65">
        <f>IF(SupplyChain4[[#This Row],[Stock levels]]=0,"",SupplyChain4[[#This Row],[Number of products sold]]/SupplyChain4[[#This Row],[Stock levels]])</f>
        <v>4.5555555555555554</v>
      </c>
      <c r="AA65">
        <f>IFERROR(SupplyChain4[[#This Row],[Revenue generated]]/SupplyChain4[[#This Row],[Number of products sold]],0)</f>
        <v>17.30467130426921</v>
      </c>
      <c r="AB65">
        <f>IFERROR(SupplyChain4[[#This Row],[Shipping costs]]/SupplyChain4[[#This Row],[Number of products sold]],0)</f>
        <v>3.0975609756097562</v>
      </c>
      <c r="AC65">
        <f>SupplyChain4[[#This Row],[Supplier Lead time]]+SupplyChain4[[#This Row],[Shipping times]]+SupplyChain4[[#This Row],[Manufacturing lead time]]</f>
        <v>33</v>
      </c>
    </row>
    <row r="66" spans="1:29">
      <c r="A66" t="s">
        <v>31</v>
      </c>
      <c r="B66" t="s">
        <v>116</v>
      </c>
      <c r="C66">
        <v>89.634095608135326</v>
      </c>
      <c r="D66">
        <v>11</v>
      </c>
      <c r="E66">
        <v>134</v>
      </c>
      <c r="F66">
        <v>8458.7308783671779</v>
      </c>
      <c r="G66" t="s">
        <v>33</v>
      </c>
      <c r="H66">
        <v>73</v>
      </c>
      <c r="I66">
        <v>27</v>
      </c>
      <c r="J66">
        <v>75</v>
      </c>
      <c r="K66">
        <v>6</v>
      </c>
      <c r="L66" t="s">
        <v>41</v>
      </c>
      <c r="M66" s="13">
        <v>1047</v>
      </c>
      <c r="N66" t="s">
        <v>37</v>
      </c>
      <c r="O66" t="s">
        <v>48</v>
      </c>
      <c r="P66">
        <v>328</v>
      </c>
      <c r="Q66">
        <v>6</v>
      </c>
      <c r="R66">
        <v>8.6930424258772874</v>
      </c>
      <c r="S66" t="s">
        <v>44</v>
      </c>
      <c r="T66">
        <v>0.15948631471751462</v>
      </c>
      <c r="U66" t="s">
        <v>38</v>
      </c>
      <c r="V66" t="s">
        <v>39</v>
      </c>
      <c r="W66">
        <v>771.22508468115745</v>
      </c>
      <c r="X66">
        <f>SupplyChain4[[#This Row],[Costs]]+SupplyChain4[[#This Row],[Shipping costs]]+SupplyChain4[[#This Row],[Manufacturing costs]]</f>
        <v>1826.9181271070349</v>
      </c>
      <c r="Y66">
        <f>SupplyChain4[[#This Row],[Revenue generated]]-SupplyChain4[[#This Row],[Total Costs]]</f>
        <v>6631.8127512601432</v>
      </c>
      <c r="Z66">
        <f>IF(SupplyChain4[[#This Row],[Stock levels]]=0,"",SupplyChain4[[#This Row],[Number of products sold]]/SupplyChain4[[#This Row],[Stock levels]])</f>
        <v>1.8356164383561644</v>
      </c>
      <c r="AA66">
        <f>IFERROR(SupplyChain4[[#This Row],[Revenue generated]]/SupplyChain4[[#This Row],[Number of products sold]],0)</f>
        <v>63.124857301247594</v>
      </c>
      <c r="AB66">
        <f>IFERROR(SupplyChain4[[#This Row],[Shipping costs]]/SupplyChain4[[#This Row],[Number of products sold]],0)</f>
        <v>7.8134328358208958</v>
      </c>
      <c r="AC66">
        <f>SupplyChain4[[#This Row],[Supplier Lead time]]+SupplyChain4[[#This Row],[Shipping times]]+SupplyChain4[[#This Row],[Manufacturing lead time]]</f>
        <v>39</v>
      </c>
    </row>
    <row r="67" spans="1:29">
      <c r="A67" t="s">
        <v>31</v>
      </c>
      <c r="B67" t="s">
        <v>117</v>
      </c>
      <c r="C67">
        <v>33.697717206643127</v>
      </c>
      <c r="D67">
        <v>72</v>
      </c>
      <c r="E67">
        <v>457</v>
      </c>
      <c r="F67">
        <v>8354.5796864819949</v>
      </c>
      <c r="G67" t="s">
        <v>53</v>
      </c>
      <c r="H67">
        <v>57</v>
      </c>
      <c r="I67">
        <v>24</v>
      </c>
      <c r="J67">
        <v>54</v>
      </c>
      <c r="K67">
        <v>8</v>
      </c>
      <c r="L67" t="s">
        <v>41</v>
      </c>
      <c r="M67" s="13">
        <v>699</v>
      </c>
      <c r="N67" t="s">
        <v>42</v>
      </c>
      <c r="O67" t="s">
        <v>43</v>
      </c>
      <c r="P67">
        <v>358</v>
      </c>
      <c r="Q67">
        <v>21</v>
      </c>
      <c r="R67">
        <v>1.5972227430506774</v>
      </c>
      <c r="S67" t="s">
        <v>44</v>
      </c>
      <c r="T67">
        <v>4.911095954842331</v>
      </c>
      <c r="U67" t="s">
        <v>45</v>
      </c>
      <c r="V67" t="s">
        <v>39</v>
      </c>
      <c r="W67">
        <v>555.85910367174347</v>
      </c>
      <c r="X67">
        <f>SupplyChain4[[#This Row],[Costs]]+SupplyChain4[[#This Row],[Shipping costs]]+SupplyChain4[[#This Row],[Manufacturing costs]]</f>
        <v>1256.4563264147941</v>
      </c>
      <c r="Y67">
        <f>SupplyChain4[[#This Row],[Revenue generated]]-SupplyChain4[[#This Row],[Total Costs]]</f>
        <v>7098.1233600672003</v>
      </c>
      <c r="Z67">
        <f>IF(SupplyChain4[[#This Row],[Stock levels]]=0,"",SupplyChain4[[#This Row],[Number of products sold]]/SupplyChain4[[#This Row],[Stock levels]])</f>
        <v>8.0175438596491233</v>
      </c>
      <c r="AA67">
        <f>IFERROR(SupplyChain4[[#This Row],[Revenue generated]]/SupplyChain4[[#This Row],[Number of products sold]],0)</f>
        <v>18.28135598792559</v>
      </c>
      <c r="AB67">
        <f>IFERROR(SupplyChain4[[#This Row],[Shipping costs]]/SupplyChain4[[#This Row],[Number of products sold]],0)</f>
        <v>1.5295404814004376</v>
      </c>
      <c r="AC67">
        <f>SupplyChain4[[#This Row],[Supplier Lead time]]+SupplyChain4[[#This Row],[Shipping times]]+SupplyChain4[[#This Row],[Manufacturing lead time]]</f>
        <v>53</v>
      </c>
    </row>
    <row r="68" spans="1:29">
      <c r="A68" t="s">
        <v>31</v>
      </c>
      <c r="B68" t="s">
        <v>118</v>
      </c>
      <c r="C68">
        <v>26.034869773962086</v>
      </c>
      <c r="D68">
        <v>52</v>
      </c>
      <c r="E68">
        <v>704</v>
      </c>
      <c r="F68">
        <v>8367.721618020154</v>
      </c>
      <c r="G68" t="s">
        <v>33</v>
      </c>
      <c r="H68">
        <v>13</v>
      </c>
      <c r="I68">
        <v>17</v>
      </c>
      <c r="J68">
        <v>19</v>
      </c>
      <c r="K68">
        <v>8</v>
      </c>
      <c r="L68" t="s">
        <v>34</v>
      </c>
      <c r="M68" s="13">
        <v>346</v>
      </c>
      <c r="N68" t="s">
        <v>42</v>
      </c>
      <c r="O68" t="s">
        <v>43</v>
      </c>
      <c r="P68">
        <v>867</v>
      </c>
      <c r="Q68">
        <v>28</v>
      </c>
      <c r="R68">
        <v>42.084436738309961</v>
      </c>
      <c r="S68" t="s">
        <v>44</v>
      </c>
      <c r="T68">
        <v>3.4480632883402618</v>
      </c>
      <c r="U68" t="s">
        <v>29</v>
      </c>
      <c r="V68" t="s">
        <v>46</v>
      </c>
      <c r="W68">
        <v>393.84334857842788</v>
      </c>
      <c r="X68">
        <f>SupplyChain4[[#This Row],[Costs]]+SupplyChain4[[#This Row],[Shipping costs]]+SupplyChain4[[#This Row],[Manufacturing costs]]</f>
        <v>781.92778531673775</v>
      </c>
      <c r="Y68">
        <f>SupplyChain4[[#This Row],[Revenue generated]]-SupplyChain4[[#This Row],[Total Costs]]</f>
        <v>7585.7938327034162</v>
      </c>
      <c r="Z68">
        <f>IF(SupplyChain4[[#This Row],[Stock levels]]=0,"",SupplyChain4[[#This Row],[Number of products sold]]/SupplyChain4[[#This Row],[Stock levels]])</f>
        <v>54.153846153846153</v>
      </c>
      <c r="AA68">
        <f>IFERROR(SupplyChain4[[#This Row],[Revenue generated]]/SupplyChain4[[#This Row],[Number of products sold]],0)</f>
        <v>11.885968207414992</v>
      </c>
      <c r="AB68">
        <f>IFERROR(SupplyChain4[[#This Row],[Shipping costs]]/SupplyChain4[[#This Row],[Number of products sold]],0)</f>
        <v>0.49147727272727271</v>
      </c>
      <c r="AC68">
        <f>SupplyChain4[[#This Row],[Supplier Lead time]]+SupplyChain4[[#This Row],[Shipping times]]+SupplyChain4[[#This Row],[Manufacturing lead time]]</f>
        <v>53</v>
      </c>
    </row>
    <row r="69" spans="1:29">
      <c r="A69" t="s">
        <v>31</v>
      </c>
      <c r="B69" t="s">
        <v>119</v>
      </c>
      <c r="C69">
        <v>87.755432354001073</v>
      </c>
      <c r="D69">
        <v>16</v>
      </c>
      <c r="E69">
        <v>513</v>
      </c>
      <c r="F69">
        <v>9473.7980325083372</v>
      </c>
      <c r="G69" t="s">
        <v>36</v>
      </c>
      <c r="H69">
        <v>12</v>
      </c>
      <c r="I69">
        <v>9</v>
      </c>
      <c r="J69">
        <v>71</v>
      </c>
      <c r="K69">
        <v>9</v>
      </c>
      <c r="L69" t="s">
        <v>41</v>
      </c>
      <c r="M69" s="13">
        <v>467</v>
      </c>
      <c r="N69" t="s">
        <v>37</v>
      </c>
      <c r="O69" t="s">
        <v>27</v>
      </c>
      <c r="P69">
        <v>198</v>
      </c>
      <c r="Q69">
        <v>11</v>
      </c>
      <c r="R69">
        <v>7.0578761469782307</v>
      </c>
      <c r="S69" t="s">
        <v>62</v>
      </c>
      <c r="T69">
        <v>0.13195544431181483</v>
      </c>
      <c r="U69" t="s">
        <v>54</v>
      </c>
      <c r="V69" t="s">
        <v>39</v>
      </c>
      <c r="W69">
        <v>169.2718013847869</v>
      </c>
      <c r="X69">
        <f>SupplyChain4[[#This Row],[Costs]]+SupplyChain4[[#This Row],[Shipping costs]]+SupplyChain4[[#This Row],[Manufacturing costs]]</f>
        <v>643.32967753176513</v>
      </c>
      <c r="Y69">
        <f>SupplyChain4[[#This Row],[Revenue generated]]-SupplyChain4[[#This Row],[Total Costs]]</f>
        <v>8830.4683549765723</v>
      </c>
      <c r="Z69">
        <f>IF(SupplyChain4[[#This Row],[Stock levels]]=0,"",SupplyChain4[[#This Row],[Number of products sold]]/SupplyChain4[[#This Row],[Stock levels]])</f>
        <v>42.75</v>
      </c>
      <c r="AA69">
        <f>IFERROR(SupplyChain4[[#This Row],[Revenue generated]]/SupplyChain4[[#This Row],[Number of products sold]],0)</f>
        <v>18.467442558495783</v>
      </c>
      <c r="AB69">
        <f>IFERROR(SupplyChain4[[#This Row],[Shipping costs]]/SupplyChain4[[#This Row],[Number of products sold]],0)</f>
        <v>0.91033138401559455</v>
      </c>
      <c r="AC69">
        <f>SupplyChain4[[#This Row],[Supplier Lead time]]+SupplyChain4[[#This Row],[Shipping times]]+SupplyChain4[[#This Row],[Manufacturing lead time]]</f>
        <v>29</v>
      </c>
    </row>
    <row r="70" spans="1:29">
      <c r="A70" t="s">
        <v>22</v>
      </c>
      <c r="B70" t="s">
        <v>120</v>
      </c>
      <c r="C70">
        <v>37.931812382790319</v>
      </c>
      <c r="D70">
        <v>29</v>
      </c>
      <c r="E70">
        <v>163</v>
      </c>
      <c r="F70">
        <v>3550.2184327809919</v>
      </c>
      <c r="G70" t="s">
        <v>24</v>
      </c>
      <c r="H70">
        <v>0</v>
      </c>
      <c r="I70">
        <v>8</v>
      </c>
      <c r="J70">
        <v>58</v>
      </c>
      <c r="K70">
        <v>8</v>
      </c>
      <c r="L70" t="s">
        <v>25</v>
      </c>
      <c r="M70" s="13">
        <v>990</v>
      </c>
      <c r="N70" t="s">
        <v>59</v>
      </c>
      <c r="O70" t="s">
        <v>51</v>
      </c>
      <c r="P70">
        <v>375</v>
      </c>
      <c r="Q70">
        <v>18</v>
      </c>
      <c r="R70">
        <v>97.113581563462205</v>
      </c>
      <c r="S70" t="s">
        <v>44</v>
      </c>
      <c r="T70">
        <v>1.9834678721741801</v>
      </c>
      <c r="U70" t="s">
        <v>45</v>
      </c>
      <c r="V70" t="s">
        <v>46</v>
      </c>
      <c r="W70">
        <v>299.70630311810316</v>
      </c>
      <c r="X70">
        <f>SupplyChain4[[#This Row],[Costs]]+SupplyChain4[[#This Row],[Shipping costs]]+SupplyChain4[[#This Row],[Manufacturing costs]]</f>
        <v>1386.8198846815656</v>
      </c>
      <c r="Y70">
        <f>SupplyChain4[[#This Row],[Revenue generated]]-SupplyChain4[[#This Row],[Total Costs]]</f>
        <v>2163.3985480994261</v>
      </c>
      <c r="Z70" t="str">
        <f>IF(SupplyChain4[[#This Row],[Stock levels]]=0,"",SupplyChain4[[#This Row],[Number of products sold]]/SupplyChain4[[#This Row],[Stock levels]])</f>
        <v/>
      </c>
      <c r="AA70">
        <f>IFERROR(SupplyChain4[[#This Row],[Revenue generated]]/SupplyChain4[[#This Row],[Number of products sold]],0)</f>
        <v>21.780481182705472</v>
      </c>
      <c r="AB70">
        <f>IFERROR(SupplyChain4[[#This Row],[Shipping costs]]/SupplyChain4[[#This Row],[Number of products sold]],0)</f>
        <v>6.0736196319018401</v>
      </c>
      <c r="AC70">
        <f>SupplyChain4[[#This Row],[Supplier Lead time]]+SupplyChain4[[#This Row],[Shipping times]]+SupplyChain4[[#This Row],[Manufacturing lead time]]</f>
        <v>34</v>
      </c>
    </row>
    <row r="71" spans="1:29">
      <c r="A71" t="s">
        <v>31</v>
      </c>
      <c r="B71" t="s">
        <v>121</v>
      </c>
      <c r="C71">
        <v>54.865528517069791</v>
      </c>
      <c r="D71">
        <v>62</v>
      </c>
      <c r="E71">
        <v>511</v>
      </c>
      <c r="F71">
        <v>1752.3810874841247</v>
      </c>
      <c r="G71" t="s">
        <v>24</v>
      </c>
      <c r="H71">
        <v>95</v>
      </c>
      <c r="I71">
        <v>1</v>
      </c>
      <c r="J71">
        <v>27</v>
      </c>
      <c r="K71">
        <v>3</v>
      </c>
      <c r="L71" t="s">
        <v>25</v>
      </c>
      <c r="M71" s="13">
        <v>944</v>
      </c>
      <c r="N71" t="s">
        <v>50</v>
      </c>
      <c r="O71" t="s">
        <v>43</v>
      </c>
      <c r="P71">
        <v>862</v>
      </c>
      <c r="Q71">
        <v>7</v>
      </c>
      <c r="R71">
        <v>77.627765812748166</v>
      </c>
      <c r="S71" t="s">
        <v>28</v>
      </c>
      <c r="T71">
        <v>1.3623879886491086</v>
      </c>
      <c r="U71" t="s">
        <v>38</v>
      </c>
      <c r="V71" t="s">
        <v>46</v>
      </c>
      <c r="W71">
        <v>207.66320620857562</v>
      </c>
      <c r="X71">
        <f>SupplyChain4[[#This Row],[Costs]]+SupplyChain4[[#This Row],[Shipping costs]]+SupplyChain4[[#This Row],[Manufacturing costs]]</f>
        <v>1229.2909720213236</v>
      </c>
      <c r="Y71">
        <f>SupplyChain4[[#This Row],[Revenue generated]]-SupplyChain4[[#This Row],[Total Costs]]</f>
        <v>523.09011546280112</v>
      </c>
      <c r="Z71">
        <f>IF(SupplyChain4[[#This Row],[Stock levels]]=0,"",SupplyChain4[[#This Row],[Number of products sold]]/SupplyChain4[[#This Row],[Stock levels]])</f>
        <v>5.3789473684210529</v>
      </c>
      <c r="AA71">
        <f>IFERROR(SupplyChain4[[#This Row],[Revenue generated]]/SupplyChain4[[#This Row],[Number of products sold]],0)</f>
        <v>3.4293171966421228</v>
      </c>
      <c r="AB71">
        <f>IFERROR(SupplyChain4[[#This Row],[Shipping costs]]/SupplyChain4[[#This Row],[Number of products sold]],0)</f>
        <v>1.847358121330724</v>
      </c>
      <c r="AC71">
        <f>SupplyChain4[[#This Row],[Supplier Lead time]]+SupplyChain4[[#This Row],[Shipping times]]+SupplyChain4[[#This Row],[Manufacturing lead time]]</f>
        <v>11</v>
      </c>
    </row>
    <row r="72" spans="1:29">
      <c r="A72" t="s">
        <v>22</v>
      </c>
      <c r="B72" t="s">
        <v>122</v>
      </c>
      <c r="C72">
        <v>47.914541824058766</v>
      </c>
      <c r="D72">
        <v>90</v>
      </c>
      <c r="E72">
        <v>32</v>
      </c>
      <c r="F72">
        <v>7014.8879872033885</v>
      </c>
      <c r="G72" t="s">
        <v>33</v>
      </c>
      <c r="H72">
        <v>10</v>
      </c>
      <c r="I72">
        <v>12</v>
      </c>
      <c r="J72">
        <v>22</v>
      </c>
      <c r="K72">
        <v>4</v>
      </c>
      <c r="L72" t="s">
        <v>25</v>
      </c>
      <c r="M72" s="13">
        <v>600</v>
      </c>
      <c r="N72" t="s">
        <v>37</v>
      </c>
      <c r="O72" t="s">
        <v>51</v>
      </c>
      <c r="P72">
        <v>775</v>
      </c>
      <c r="Q72">
        <v>16</v>
      </c>
      <c r="R72">
        <v>11.440781823761265</v>
      </c>
      <c r="S72" t="s">
        <v>62</v>
      </c>
      <c r="T72">
        <v>1.8305755986122314</v>
      </c>
      <c r="U72" t="s">
        <v>29</v>
      </c>
      <c r="V72" t="s">
        <v>39</v>
      </c>
      <c r="W72">
        <v>183.27289874871101</v>
      </c>
      <c r="X72">
        <f>SupplyChain4[[#This Row],[Costs]]+SupplyChain4[[#This Row],[Shipping costs]]+SupplyChain4[[#This Row],[Manufacturing costs]]</f>
        <v>794.7136805724723</v>
      </c>
      <c r="Y72">
        <f>SupplyChain4[[#This Row],[Revenue generated]]-SupplyChain4[[#This Row],[Total Costs]]</f>
        <v>6220.1743066309164</v>
      </c>
      <c r="Z72">
        <f>IF(SupplyChain4[[#This Row],[Stock levels]]=0,"",SupplyChain4[[#This Row],[Number of products sold]]/SupplyChain4[[#This Row],[Stock levels]])</f>
        <v>3.2</v>
      </c>
      <c r="AA72">
        <f>IFERROR(SupplyChain4[[#This Row],[Revenue generated]]/SupplyChain4[[#This Row],[Number of products sold]],0)</f>
        <v>219.21524960010589</v>
      </c>
      <c r="AB72">
        <f>IFERROR(SupplyChain4[[#This Row],[Shipping costs]]/SupplyChain4[[#This Row],[Number of products sold]],0)</f>
        <v>18.75</v>
      </c>
      <c r="AC72">
        <f>SupplyChain4[[#This Row],[Supplier Lead time]]+SupplyChain4[[#This Row],[Shipping times]]+SupplyChain4[[#This Row],[Manufacturing lead time]]</f>
        <v>32</v>
      </c>
    </row>
    <row r="73" spans="1:29">
      <c r="A73" t="s">
        <v>55</v>
      </c>
      <c r="B73" t="s">
        <v>123</v>
      </c>
      <c r="C73">
        <v>6.3815331627479663</v>
      </c>
      <c r="D73">
        <v>14</v>
      </c>
      <c r="E73">
        <v>637</v>
      </c>
      <c r="F73">
        <v>8180.3370854254426</v>
      </c>
      <c r="G73" t="s">
        <v>33</v>
      </c>
      <c r="H73">
        <v>76</v>
      </c>
      <c r="I73">
        <v>2</v>
      </c>
      <c r="J73">
        <v>26</v>
      </c>
      <c r="K73">
        <v>6</v>
      </c>
      <c r="L73" t="s">
        <v>34</v>
      </c>
      <c r="M73" s="13">
        <v>898</v>
      </c>
      <c r="N73" t="s">
        <v>59</v>
      </c>
      <c r="O73" t="s">
        <v>51</v>
      </c>
      <c r="P73">
        <v>258</v>
      </c>
      <c r="Q73">
        <v>10</v>
      </c>
      <c r="R73">
        <v>30.661677477859556</v>
      </c>
      <c r="S73" t="s">
        <v>28</v>
      </c>
      <c r="T73">
        <v>2.0787506078749689</v>
      </c>
      <c r="U73" t="s">
        <v>29</v>
      </c>
      <c r="V73" t="s">
        <v>46</v>
      </c>
      <c r="W73">
        <v>405.16706788885585</v>
      </c>
      <c r="X73">
        <f>SupplyChain4[[#This Row],[Costs]]+SupplyChain4[[#This Row],[Shipping costs]]+SupplyChain4[[#This Row],[Manufacturing costs]]</f>
        <v>1333.8287453667153</v>
      </c>
      <c r="Y73">
        <f>SupplyChain4[[#This Row],[Revenue generated]]-SupplyChain4[[#This Row],[Total Costs]]</f>
        <v>6846.5083400587273</v>
      </c>
      <c r="Z73">
        <f>IF(SupplyChain4[[#This Row],[Stock levels]]=0,"",SupplyChain4[[#This Row],[Number of products sold]]/SupplyChain4[[#This Row],[Stock levels]])</f>
        <v>8.3815789473684212</v>
      </c>
      <c r="AA73">
        <f>IFERROR(SupplyChain4[[#This Row],[Revenue generated]]/SupplyChain4[[#This Row],[Number of products sold]],0)</f>
        <v>12.84197344650776</v>
      </c>
      <c r="AB73">
        <f>IFERROR(SupplyChain4[[#This Row],[Shipping costs]]/SupplyChain4[[#This Row],[Number of products sold]],0)</f>
        <v>1.4097331240188382</v>
      </c>
      <c r="AC73">
        <f>SupplyChain4[[#This Row],[Supplier Lead time]]+SupplyChain4[[#This Row],[Shipping times]]+SupplyChain4[[#This Row],[Manufacturing lead time]]</f>
        <v>18</v>
      </c>
    </row>
    <row r="74" spans="1:29">
      <c r="A74" t="s">
        <v>55</v>
      </c>
      <c r="B74" t="s">
        <v>124</v>
      </c>
      <c r="C74">
        <v>90.204427520528071</v>
      </c>
      <c r="D74">
        <v>88</v>
      </c>
      <c r="E74">
        <v>478</v>
      </c>
      <c r="F74">
        <v>2633.1219813122557</v>
      </c>
      <c r="G74" t="s">
        <v>24</v>
      </c>
      <c r="H74">
        <v>57</v>
      </c>
      <c r="I74">
        <v>29</v>
      </c>
      <c r="J74">
        <v>77</v>
      </c>
      <c r="K74">
        <v>9</v>
      </c>
      <c r="L74" t="s">
        <v>34</v>
      </c>
      <c r="M74" s="13">
        <v>122</v>
      </c>
      <c r="N74" t="s">
        <v>37</v>
      </c>
      <c r="O74" t="s">
        <v>51</v>
      </c>
      <c r="P74">
        <v>152</v>
      </c>
      <c r="Q74">
        <v>11</v>
      </c>
      <c r="R74">
        <v>55.760492895244212</v>
      </c>
      <c r="S74" t="s">
        <v>28</v>
      </c>
      <c r="T74">
        <v>3.2133296074383089</v>
      </c>
      <c r="U74" t="s">
        <v>45</v>
      </c>
      <c r="V74" t="s">
        <v>30</v>
      </c>
      <c r="W74">
        <v>677.9445698461833</v>
      </c>
      <c r="X74">
        <f>SupplyChain4[[#This Row],[Costs]]+SupplyChain4[[#This Row],[Shipping costs]]+SupplyChain4[[#This Row],[Manufacturing costs]]</f>
        <v>855.70506274142747</v>
      </c>
      <c r="Y74">
        <f>SupplyChain4[[#This Row],[Revenue generated]]-SupplyChain4[[#This Row],[Total Costs]]</f>
        <v>1777.4169185708283</v>
      </c>
      <c r="Z74">
        <f>IF(SupplyChain4[[#This Row],[Stock levels]]=0,"",SupplyChain4[[#This Row],[Number of products sold]]/SupplyChain4[[#This Row],[Stock levels]])</f>
        <v>8.3859649122807021</v>
      </c>
      <c r="AA74">
        <f>IFERROR(SupplyChain4[[#This Row],[Revenue generated]]/SupplyChain4[[#This Row],[Number of products sold]],0)</f>
        <v>5.5086233918666441</v>
      </c>
      <c r="AB74">
        <f>IFERROR(SupplyChain4[[#This Row],[Shipping costs]]/SupplyChain4[[#This Row],[Number of products sold]],0)</f>
        <v>0.25523012552301255</v>
      </c>
      <c r="AC74">
        <f>SupplyChain4[[#This Row],[Supplier Lead time]]+SupplyChain4[[#This Row],[Shipping times]]+SupplyChain4[[#This Row],[Manufacturing lead time]]</f>
        <v>49</v>
      </c>
    </row>
    <row r="75" spans="1:29">
      <c r="A75" t="s">
        <v>55</v>
      </c>
      <c r="B75" t="s">
        <v>125</v>
      </c>
      <c r="C75">
        <v>83.851017681304597</v>
      </c>
      <c r="D75">
        <v>41</v>
      </c>
      <c r="E75">
        <v>375</v>
      </c>
      <c r="F75">
        <v>7910.8869161406856</v>
      </c>
      <c r="G75" t="s">
        <v>53</v>
      </c>
      <c r="H75">
        <v>17</v>
      </c>
      <c r="I75">
        <v>25</v>
      </c>
      <c r="J75">
        <v>66</v>
      </c>
      <c r="K75">
        <v>5</v>
      </c>
      <c r="L75" t="s">
        <v>25</v>
      </c>
      <c r="M75" s="13">
        <v>222</v>
      </c>
      <c r="N75" t="s">
        <v>50</v>
      </c>
      <c r="O75" t="s">
        <v>60</v>
      </c>
      <c r="P75">
        <v>444</v>
      </c>
      <c r="Q75">
        <v>4</v>
      </c>
      <c r="R75">
        <v>46.870238797617155</v>
      </c>
      <c r="S75" t="s">
        <v>44</v>
      </c>
      <c r="T75">
        <v>4.6205460645137064</v>
      </c>
      <c r="U75" t="s">
        <v>29</v>
      </c>
      <c r="V75" t="s">
        <v>46</v>
      </c>
      <c r="W75">
        <v>866.4728001296578</v>
      </c>
      <c r="X75">
        <f>SupplyChain4[[#This Row],[Costs]]+SupplyChain4[[#This Row],[Shipping costs]]+SupplyChain4[[#This Row],[Manufacturing costs]]</f>
        <v>1135.3430389272748</v>
      </c>
      <c r="Y75">
        <f>SupplyChain4[[#This Row],[Revenue generated]]-SupplyChain4[[#This Row],[Total Costs]]</f>
        <v>6775.5438772134112</v>
      </c>
      <c r="Z75">
        <f>IF(SupplyChain4[[#This Row],[Stock levels]]=0,"",SupplyChain4[[#This Row],[Number of products sold]]/SupplyChain4[[#This Row],[Stock levels]])</f>
        <v>22.058823529411764</v>
      </c>
      <c r="AA75">
        <f>IFERROR(SupplyChain4[[#This Row],[Revenue generated]]/SupplyChain4[[#This Row],[Number of products sold]],0)</f>
        <v>21.09569844304183</v>
      </c>
      <c r="AB75">
        <f>IFERROR(SupplyChain4[[#This Row],[Shipping costs]]/SupplyChain4[[#This Row],[Number of products sold]],0)</f>
        <v>0.59199999999999997</v>
      </c>
      <c r="AC75">
        <f>SupplyChain4[[#This Row],[Supplier Lead time]]+SupplyChain4[[#This Row],[Shipping times]]+SupplyChain4[[#This Row],[Manufacturing lead time]]</f>
        <v>34</v>
      </c>
    </row>
    <row r="76" spans="1:29">
      <c r="A76" t="s">
        <v>22</v>
      </c>
      <c r="B76" t="s">
        <v>126</v>
      </c>
      <c r="C76">
        <v>3.1700114135661548</v>
      </c>
      <c r="D76">
        <v>64</v>
      </c>
      <c r="E76">
        <v>904</v>
      </c>
      <c r="F76">
        <v>5709.9452959692871</v>
      </c>
      <c r="G76" t="s">
        <v>33</v>
      </c>
      <c r="H76">
        <v>41</v>
      </c>
      <c r="I76">
        <v>6</v>
      </c>
      <c r="J76">
        <v>1</v>
      </c>
      <c r="K76">
        <v>5</v>
      </c>
      <c r="L76" t="s">
        <v>34</v>
      </c>
      <c r="M76" s="13">
        <v>738</v>
      </c>
      <c r="N76" t="s">
        <v>50</v>
      </c>
      <c r="O76" t="s">
        <v>48</v>
      </c>
      <c r="P76">
        <v>919</v>
      </c>
      <c r="Q76">
        <v>9</v>
      </c>
      <c r="R76">
        <v>80.580852156447818</v>
      </c>
      <c r="S76" t="s">
        <v>44</v>
      </c>
      <c r="T76">
        <v>0.39661272410993542</v>
      </c>
      <c r="U76" t="s">
        <v>45</v>
      </c>
      <c r="V76" t="s">
        <v>46</v>
      </c>
      <c r="W76">
        <v>341.55265678322337</v>
      </c>
      <c r="X76">
        <f>SupplyChain4[[#This Row],[Costs]]+SupplyChain4[[#This Row],[Shipping costs]]+SupplyChain4[[#This Row],[Manufacturing costs]]</f>
        <v>1160.1335089396714</v>
      </c>
      <c r="Y76">
        <f>SupplyChain4[[#This Row],[Revenue generated]]-SupplyChain4[[#This Row],[Total Costs]]</f>
        <v>4549.8117870296155</v>
      </c>
      <c r="Z76">
        <f>IF(SupplyChain4[[#This Row],[Stock levels]]=0,"",SupplyChain4[[#This Row],[Number of products sold]]/SupplyChain4[[#This Row],[Stock levels]])</f>
        <v>22.048780487804876</v>
      </c>
      <c r="AA76">
        <f>IFERROR(SupplyChain4[[#This Row],[Revenue generated]]/SupplyChain4[[#This Row],[Number of products sold]],0)</f>
        <v>6.3163111681076183</v>
      </c>
      <c r="AB76">
        <f>IFERROR(SupplyChain4[[#This Row],[Shipping costs]]/SupplyChain4[[#This Row],[Number of products sold]],0)</f>
        <v>0.8163716814159292</v>
      </c>
      <c r="AC76">
        <f>SupplyChain4[[#This Row],[Supplier Lead time]]+SupplyChain4[[#This Row],[Shipping times]]+SupplyChain4[[#This Row],[Manufacturing lead time]]</f>
        <v>20</v>
      </c>
    </row>
    <row r="77" spans="1:29">
      <c r="A77" t="s">
        <v>31</v>
      </c>
      <c r="B77" t="s">
        <v>127</v>
      </c>
      <c r="C77">
        <v>92.996884233970661</v>
      </c>
      <c r="D77">
        <v>29</v>
      </c>
      <c r="E77">
        <v>106</v>
      </c>
      <c r="F77">
        <v>1889.073589779335</v>
      </c>
      <c r="G77" t="s">
        <v>24</v>
      </c>
      <c r="H77">
        <v>16</v>
      </c>
      <c r="I77">
        <v>20</v>
      </c>
      <c r="J77">
        <v>56</v>
      </c>
      <c r="K77">
        <v>10</v>
      </c>
      <c r="L77" t="s">
        <v>41</v>
      </c>
      <c r="M77" s="13">
        <v>876</v>
      </c>
      <c r="N77" t="s">
        <v>37</v>
      </c>
      <c r="O77" t="s">
        <v>60</v>
      </c>
      <c r="P77">
        <v>759</v>
      </c>
      <c r="Q77">
        <v>11</v>
      </c>
      <c r="R77">
        <v>48.064782640006591</v>
      </c>
      <c r="S77" t="s">
        <v>62</v>
      </c>
      <c r="T77">
        <v>2.0300690886687516</v>
      </c>
      <c r="U77" t="s">
        <v>38</v>
      </c>
      <c r="V77" t="s">
        <v>39</v>
      </c>
      <c r="W77">
        <v>873.12964801765145</v>
      </c>
      <c r="X77">
        <f>SupplyChain4[[#This Row],[Costs]]+SupplyChain4[[#This Row],[Shipping costs]]+SupplyChain4[[#This Row],[Manufacturing costs]]</f>
        <v>1797.1944306576581</v>
      </c>
      <c r="Y77">
        <f>SupplyChain4[[#This Row],[Revenue generated]]-SupplyChain4[[#This Row],[Total Costs]]</f>
        <v>91.879159121676821</v>
      </c>
      <c r="Z77">
        <f>IF(SupplyChain4[[#This Row],[Stock levels]]=0,"",SupplyChain4[[#This Row],[Number of products sold]]/SupplyChain4[[#This Row],[Stock levels]])</f>
        <v>6.625</v>
      </c>
      <c r="AA77">
        <f>IFERROR(SupplyChain4[[#This Row],[Revenue generated]]/SupplyChain4[[#This Row],[Number of products sold]],0)</f>
        <v>17.821448960182405</v>
      </c>
      <c r="AB77">
        <f>IFERROR(SupplyChain4[[#This Row],[Shipping costs]]/SupplyChain4[[#This Row],[Number of products sold]],0)</f>
        <v>8.2641509433962259</v>
      </c>
      <c r="AC77">
        <f>SupplyChain4[[#This Row],[Supplier Lead time]]+SupplyChain4[[#This Row],[Shipping times]]+SupplyChain4[[#This Row],[Manufacturing lead time]]</f>
        <v>41</v>
      </c>
    </row>
    <row r="78" spans="1:29">
      <c r="A78" t="s">
        <v>22</v>
      </c>
      <c r="B78" t="s">
        <v>128</v>
      </c>
      <c r="C78">
        <v>69.108799547430323</v>
      </c>
      <c r="D78">
        <v>23</v>
      </c>
      <c r="E78">
        <v>241</v>
      </c>
      <c r="F78">
        <v>5328.3759842977579</v>
      </c>
      <c r="G78" t="s">
        <v>53</v>
      </c>
      <c r="H78">
        <v>38</v>
      </c>
      <c r="I78">
        <v>1</v>
      </c>
      <c r="J78">
        <v>22</v>
      </c>
      <c r="K78">
        <v>10</v>
      </c>
      <c r="L78" t="s">
        <v>34</v>
      </c>
      <c r="M78" s="13">
        <v>155</v>
      </c>
      <c r="N78" t="s">
        <v>59</v>
      </c>
      <c r="O78" t="s">
        <v>51</v>
      </c>
      <c r="P78">
        <v>985</v>
      </c>
      <c r="Q78">
        <v>24</v>
      </c>
      <c r="R78">
        <v>64.323597795600222</v>
      </c>
      <c r="S78" t="s">
        <v>28</v>
      </c>
      <c r="T78">
        <v>2.1800374515822165</v>
      </c>
      <c r="U78" t="s">
        <v>45</v>
      </c>
      <c r="V78" t="s">
        <v>46</v>
      </c>
      <c r="W78">
        <v>997.4134501331946</v>
      </c>
      <c r="X78">
        <f>SupplyChain4[[#This Row],[Costs]]+SupplyChain4[[#This Row],[Shipping costs]]+SupplyChain4[[#This Row],[Manufacturing costs]]</f>
        <v>1216.7370479287947</v>
      </c>
      <c r="Y78">
        <f>SupplyChain4[[#This Row],[Revenue generated]]-SupplyChain4[[#This Row],[Total Costs]]</f>
        <v>4111.6389363689632</v>
      </c>
      <c r="Z78">
        <f>IF(SupplyChain4[[#This Row],[Stock levels]]=0,"",SupplyChain4[[#This Row],[Number of products sold]]/SupplyChain4[[#This Row],[Stock levels]])</f>
        <v>6.3421052631578947</v>
      </c>
      <c r="AA78">
        <f>IFERROR(SupplyChain4[[#This Row],[Revenue generated]]/SupplyChain4[[#This Row],[Number of products sold]],0)</f>
        <v>22.109443918247958</v>
      </c>
      <c r="AB78">
        <f>IFERROR(SupplyChain4[[#This Row],[Shipping costs]]/SupplyChain4[[#This Row],[Number of products sold]],0)</f>
        <v>0.6431535269709544</v>
      </c>
      <c r="AC78">
        <f>SupplyChain4[[#This Row],[Supplier Lead time]]+SupplyChain4[[#This Row],[Shipping times]]+SupplyChain4[[#This Row],[Manufacturing lead time]]</f>
        <v>35</v>
      </c>
    </row>
    <row r="79" spans="1:29">
      <c r="A79" t="s">
        <v>22</v>
      </c>
      <c r="B79" t="s">
        <v>129</v>
      </c>
      <c r="C79">
        <v>57.449742958971477</v>
      </c>
      <c r="D79">
        <v>14</v>
      </c>
      <c r="E79">
        <v>359</v>
      </c>
      <c r="F79">
        <v>2483.7601775427947</v>
      </c>
      <c r="G79" t="s">
        <v>36</v>
      </c>
      <c r="H79">
        <v>96</v>
      </c>
      <c r="I79">
        <v>28</v>
      </c>
      <c r="J79">
        <v>57</v>
      </c>
      <c r="K79">
        <v>4</v>
      </c>
      <c r="L79" t="s">
        <v>25</v>
      </c>
      <c r="M79" s="13">
        <v>526</v>
      </c>
      <c r="N79" t="s">
        <v>37</v>
      </c>
      <c r="O79" t="s">
        <v>43</v>
      </c>
      <c r="P79">
        <v>334</v>
      </c>
      <c r="Q79">
        <v>5</v>
      </c>
      <c r="R79">
        <v>42.952444748991837</v>
      </c>
      <c r="S79" t="s">
        <v>62</v>
      </c>
      <c r="T79">
        <v>3.0551418183075478</v>
      </c>
      <c r="U79" t="s">
        <v>29</v>
      </c>
      <c r="V79" t="s">
        <v>30</v>
      </c>
      <c r="W79">
        <v>852.56809891984994</v>
      </c>
      <c r="X79">
        <f>SupplyChain4[[#This Row],[Costs]]+SupplyChain4[[#This Row],[Shipping costs]]+SupplyChain4[[#This Row],[Manufacturing costs]]</f>
        <v>1421.5205436688418</v>
      </c>
      <c r="Y79">
        <f>SupplyChain4[[#This Row],[Revenue generated]]-SupplyChain4[[#This Row],[Total Costs]]</f>
        <v>1062.2396338739529</v>
      </c>
      <c r="Z79">
        <f>IF(SupplyChain4[[#This Row],[Stock levels]]=0,"",SupplyChain4[[#This Row],[Number of products sold]]/SupplyChain4[[#This Row],[Stock levels]])</f>
        <v>3.7395833333333335</v>
      </c>
      <c r="AA79">
        <f>IFERROR(SupplyChain4[[#This Row],[Revenue generated]]/SupplyChain4[[#This Row],[Number of products sold]],0)</f>
        <v>6.918552026581601</v>
      </c>
      <c r="AB79">
        <f>IFERROR(SupplyChain4[[#This Row],[Shipping costs]]/SupplyChain4[[#This Row],[Number of products sold]],0)</f>
        <v>1.4651810584958218</v>
      </c>
      <c r="AC79">
        <f>SupplyChain4[[#This Row],[Supplier Lead time]]+SupplyChain4[[#This Row],[Shipping times]]+SupplyChain4[[#This Row],[Manufacturing lead time]]</f>
        <v>37</v>
      </c>
    </row>
    <row r="80" spans="1:29">
      <c r="A80" t="s">
        <v>22</v>
      </c>
      <c r="B80" t="s">
        <v>130</v>
      </c>
      <c r="C80">
        <v>6.3068831761119153</v>
      </c>
      <c r="D80">
        <v>50</v>
      </c>
      <c r="E80">
        <v>946</v>
      </c>
      <c r="F80">
        <v>1292.4584179377562</v>
      </c>
      <c r="G80" t="s">
        <v>36</v>
      </c>
      <c r="H80">
        <v>5</v>
      </c>
      <c r="I80">
        <v>4</v>
      </c>
      <c r="J80">
        <v>51</v>
      </c>
      <c r="K80">
        <v>5</v>
      </c>
      <c r="L80" t="s">
        <v>25</v>
      </c>
      <c r="M80" s="13">
        <v>511</v>
      </c>
      <c r="N80" t="s">
        <v>42</v>
      </c>
      <c r="O80" t="s">
        <v>27</v>
      </c>
      <c r="P80">
        <v>858</v>
      </c>
      <c r="Q80">
        <v>21</v>
      </c>
      <c r="R80">
        <v>71.126514720403378</v>
      </c>
      <c r="S80" t="s">
        <v>28</v>
      </c>
      <c r="T80">
        <v>4.0968813324704518</v>
      </c>
      <c r="U80" t="s">
        <v>54</v>
      </c>
      <c r="V80" t="s">
        <v>39</v>
      </c>
      <c r="W80">
        <v>323.59220343132216</v>
      </c>
      <c r="X80">
        <f>SupplyChain4[[#This Row],[Costs]]+SupplyChain4[[#This Row],[Shipping costs]]+SupplyChain4[[#This Row],[Manufacturing costs]]</f>
        <v>905.71871815172551</v>
      </c>
      <c r="Y80">
        <f>SupplyChain4[[#This Row],[Revenue generated]]-SupplyChain4[[#This Row],[Total Costs]]</f>
        <v>386.73969978603066</v>
      </c>
      <c r="Z80">
        <f>IF(SupplyChain4[[#This Row],[Stock levels]]=0,"",SupplyChain4[[#This Row],[Number of products sold]]/SupplyChain4[[#This Row],[Stock levels]])</f>
        <v>189.2</v>
      </c>
      <c r="AA80">
        <f>IFERROR(SupplyChain4[[#This Row],[Revenue generated]]/SupplyChain4[[#This Row],[Number of products sold]],0)</f>
        <v>1.366235114099108</v>
      </c>
      <c r="AB80">
        <f>IFERROR(SupplyChain4[[#This Row],[Shipping costs]]/SupplyChain4[[#This Row],[Number of products sold]],0)</f>
        <v>0.54016913319238902</v>
      </c>
      <c r="AC80">
        <f>SupplyChain4[[#This Row],[Supplier Lead time]]+SupplyChain4[[#This Row],[Shipping times]]+SupplyChain4[[#This Row],[Manufacturing lead time]]</f>
        <v>30</v>
      </c>
    </row>
    <row r="81" spans="1:29">
      <c r="A81" t="s">
        <v>22</v>
      </c>
      <c r="B81" t="s">
        <v>131</v>
      </c>
      <c r="C81">
        <v>57.057031221103223</v>
      </c>
      <c r="D81">
        <v>56</v>
      </c>
      <c r="E81">
        <v>198</v>
      </c>
      <c r="F81">
        <v>7888.7232684270812</v>
      </c>
      <c r="G81" t="s">
        <v>24</v>
      </c>
      <c r="H81">
        <v>31</v>
      </c>
      <c r="I81">
        <v>25</v>
      </c>
      <c r="J81">
        <v>20</v>
      </c>
      <c r="K81">
        <v>1</v>
      </c>
      <c r="L81" t="s">
        <v>25</v>
      </c>
      <c r="M81" s="13">
        <v>1160</v>
      </c>
      <c r="N81" t="s">
        <v>26</v>
      </c>
      <c r="O81" t="s">
        <v>51</v>
      </c>
      <c r="P81">
        <v>228</v>
      </c>
      <c r="Q81">
        <v>12</v>
      </c>
      <c r="R81">
        <v>57.87090292403628</v>
      </c>
      <c r="S81" t="s">
        <v>28</v>
      </c>
      <c r="T81">
        <v>0.16587162748060824</v>
      </c>
      <c r="U81" t="s">
        <v>38</v>
      </c>
      <c r="V81" t="s">
        <v>39</v>
      </c>
      <c r="W81">
        <v>351.50421933503867</v>
      </c>
      <c r="X81">
        <f>SupplyChain4[[#This Row],[Costs]]+SupplyChain4[[#This Row],[Shipping costs]]+SupplyChain4[[#This Row],[Manufacturing costs]]</f>
        <v>1569.3751222590749</v>
      </c>
      <c r="Y81">
        <f>SupplyChain4[[#This Row],[Revenue generated]]-SupplyChain4[[#This Row],[Total Costs]]</f>
        <v>6319.3481461680058</v>
      </c>
      <c r="Z81">
        <f>IF(SupplyChain4[[#This Row],[Stock levels]]=0,"",SupplyChain4[[#This Row],[Number of products sold]]/SupplyChain4[[#This Row],[Stock levels]])</f>
        <v>6.387096774193548</v>
      </c>
      <c r="AA81">
        <f>IFERROR(SupplyChain4[[#This Row],[Revenue generated]]/SupplyChain4[[#This Row],[Number of products sold]],0)</f>
        <v>39.842036709227685</v>
      </c>
      <c r="AB81">
        <f>IFERROR(SupplyChain4[[#This Row],[Shipping costs]]/SupplyChain4[[#This Row],[Number of products sold]],0)</f>
        <v>5.858585858585859</v>
      </c>
      <c r="AC81">
        <f>SupplyChain4[[#This Row],[Supplier Lead time]]+SupplyChain4[[#This Row],[Shipping times]]+SupplyChain4[[#This Row],[Manufacturing lead time]]</f>
        <v>38</v>
      </c>
    </row>
    <row r="82" spans="1:29">
      <c r="A82" t="s">
        <v>31</v>
      </c>
      <c r="B82" t="s">
        <v>132</v>
      </c>
      <c r="C82">
        <v>91.128318350444331</v>
      </c>
      <c r="D82">
        <v>75</v>
      </c>
      <c r="E82">
        <v>872</v>
      </c>
      <c r="F82">
        <v>8651.6726829820655</v>
      </c>
      <c r="G82" t="s">
        <v>36</v>
      </c>
      <c r="H82">
        <v>39</v>
      </c>
      <c r="I82">
        <v>14</v>
      </c>
      <c r="J82">
        <v>41</v>
      </c>
      <c r="K82">
        <v>2</v>
      </c>
      <c r="L82" t="s">
        <v>41</v>
      </c>
      <c r="M82" s="13">
        <v>862</v>
      </c>
      <c r="N82" t="s">
        <v>26</v>
      </c>
      <c r="O82" t="s">
        <v>60</v>
      </c>
      <c r="P82">
        <v>202</v>
      </c>
      <c r="Q82">
        <v>5</v>
      </c>
      <c r="R82">
        <v>76.961228023820013</v>
      </c>
      <c r="S82" t="s">
        <v>44</v>
      </c>
      <c r="T82">
        <v>2.8496621985053308</v>
      </c>
      <c r="U82" t="s">
        <v>54</v>
      </c>
      <c r="V82" t="s">
        <v>30</v>
      </c>
      <c r="W82">
        <v>787.77985049434449</v>
      </c>
      <c r="X82">
        <f>SupplyChain4[[#This Row],[Costs]]+SupplyChain4[[#This Row],[Shipping costs]]+SupplyChain4[[#This Row],[Manufacturing costs]]</f>
        <v>1726.7410785181644</v>
      </c>
      <c r="Y82">
        <f>SupplyChain4[[#This Row],[Revenue generated]]-SupplyChain4[[#This Row],[Total Costs]]</f>
        <v>6924.9316044639008</v>
      </c>
      <c r="Z82">
        <f>IF(SupplyChain4[[#This Row],[Stock levels]]=0,"",SupplyChain4[[#This Row],[Number of products sold]]/SupplyChain4[[#This Row],[Stock levels]])</f>
        <v>22.358974358974358</v>
      </c>
      <c r="AA82">
        <f>IFERROR(SupplyChain4[[#This Row],[Revenue generated]]/SupplyChain4[[#This Row],[Number of products sold]],0)</f>
        <v>9.9216429850711751</v>
      </c>
      <c r="AB82">
        <f>IFERROR(SupplyChain4[[#This Row],[Shipping costs]]/SupplyChain4[[#This Row],[Number of products sold]],0)</f>
        <v>0.98853211009174313</v>
      </c>
      <c r="AC82">
        <f>SupplyChain4[[#This Row],[Supplier Lead time]]+SupplyChain4[[#This Row],[Shipping times]]+SupplyChain4[[#This Row],[Manufacturing lead time]]</f>
        <v>21</v>
      </c>
    </row>
    <row r="83" spans="1:29">
      <c r="A83" t="s">
        <v>22</v>
      </c>
      <c r="B83" t="s">
        <v>133</v>
      </c>
      <c r="C83">
        <v>72.819206930318217</v>
      </c>
      <c r="D83">
        <v>9</v>
      </c>
      <c r="E83">
        <v>774</v>
      </c>
      <c r="F83">
        <v>4384.4134000458625</v>
      </c>
      <c r="G83" t="s">
        <v>36</v>
      </c>
      <c r="H83">
        <v>48</v>
      </c>
      <c r="I83">
        <v>6</v>
      </c>
      <c r="J83">
        <v>8</v>
      </c>
      <c r="K83">
        <v>5</v>
      </c>
      <c r="L83" t="s">
        <v>25</v>
      </c>
      <c r="M83" s="13">
        <v>147</v>
      </c>
      <c r="N83" t="s">
        <v>26</v>
      </c>
      <c r="O83" t="s">
        <v>48</v>
      </c>
      <c r="P83">
        <v>698</v>
      </c>
      <c r="Q83">
        <v>1</v>
      </c>
      <c r="R83">
        <v>19.789592941903603</v>
      </c>
      <c r="S83" t="s">
        <v>28</v>
      </c>
      <c r="T83">
        <v>2.5475471215487118</v>
      </c>
      <c r="U83" t="s">
        <v>45</v>
      </c>
      <c r="V83" t="s">
        <v>30</v>
      </c>
      <c r="W83">
        <v>276.77833594679885</v>
      </c>
      <c r="X83">
        <f>SupplyChain4[[#This Row],[Costs]]+SupplyChain4[[#This Row],[Shipping costs]]+SupplyChain4[[#This Row],[Manufacturing costs]]</f>
        <v>443.56792888870245</v>
      </c>
      <c r="Y83">
        <f>SupplyChain4[[#This Row],[Revenue generated]]-SupplyChain4[[#This Row],[Total Costs]]</f>
        <v>3940.8454711571603</v>
      </c>
      <c r="Z83">
        <f>IF(SupplyChain4[[#This Row],[Stock levels]]=0,"",SupplyChain4[[#This Row],[Number of products sold]]/SupplyChain4[[#This Row],[Stock levels]])</f>
        <v>16.125</v>
      </c>
      <c r="AA83">
        <f>IFERROR(SupplyChain4[[#This Row],[Revenue generated]]/SupplyChain4[[#This Row],[Number of products sold]],0)</f>
        <v>5.6646167959248874</v>
      </c>
      <c r="AB83">
        <f>IFERROR(SupplyChain4[[#This Row],[Shipping costs]]/SupplyChain4[[#This Row],[Number of products sold]],0)</f>
        <v>0.18992248062015504</v>
      </c>
      <c r="AC83">
        <f>SupplyChain4[[#This Row],[Supplier Lead time]]+SupplyChain4[[#This Row],[Shipping times]]+SupplyChain4[[#This Row],[Manufacturing lead time]]</f>
        <v>12</v>
      </c>
    </row>
    <row r="84" spans="1:29">
      <c r="A84" t="s">
        <v>31</v>
      </c>
      <c r="B84" t="s">
        <v>134</v>
      </c>
      <c r="C84">
        <v>17.034930739467917</v>
      </c>
      <c r="D84">
        <v>13</v>
      </c>
      <c r="E84">
        <v>336</v>
      </c>
      <c r="F84">
        <v>2943.3818676094515</v>
      </c>
      <c r="G84" t="s">
        <v>36</v>
      </c>
      <c r="H84">
        <v>42</v>
      </c>
      <c r="I84">
        <v>19</v>
      </c>
      <c r="J84">
        <v>72</v>
      </c>
      <c r="K84">
        <v>1</v>
      </c>
      <c r="L84" t="s">
        <v>34</v>
      </c>
      <c r="M84" s="13">
        <v>868</v>
      </c>
      <c r="N84" t="s">
        <v>59</v>
      </c>
      <c r="O84" t="s">
        <v>27</v>
      </c>
      <c r="P84">
        <v>955</v>
      </c>
      <c r="Q84">
        <v>26</v>
      </c>
      <c r="R84">
        <v>4.4652784349432402</v>
      </c>
      <c r="S84" t="s">
        <v>28</v>
      </c>
      <c r="T84">
        <v>4.1378770486223573</v>
      </c>
      <c r="U84" t="s">
        <v>29</v>
      </c>
      <c r="V84" t="s">
        <v>39</v>
      </c>
      <c r="W84">
        <v>589.97855562804068</v>
      </c>
      <c r="X84">
        <f>SupplyChain4[[#This Row],[Costs]]+SupplyChain4[[#This Row],[Shipping costs]]+SupplyChain4[[#This Row],[Manufacturing costs]]</f>
        <v>1462.443834062984</v>
      </c>
      <c r="Y84">
        <f>SupplyChain4[[#This Row],[Revenue generated]]-SupplyChain4[[#This Row],[Total Costs]]</f>
        <v>1480.9380335464675</v>
      </c>
      <c r="Z84">
        <f>IF(SupplyChain4[[#This Row],[Stock levels]]=0,"",SupplyChain4[[#This Row],[Number of products sold]]/SupplyChain4[[#This Row],[Stock levels]])</f>
        <v>8</v>
      </c>
      <c r="AA84">
        <f>IFERROR(SupplyChain4[[#This Row],[Revenue generated]]/SupplyChain4[[#This Row],[Number of products sold]],0)</f>
        <v>8.7600650821709873</v>
      </c>
      <c r="AB84">
        <f>IFERROR(SupplyChain4[[#This Row],[Shipping costs]]/SupplyChain4[[#This Row],[Number of products sold]],0)</f>
        <v>2.5833333333333335</v>
      </c>
      <c r="AC84">
        <f>SupplyChain4[[#This Row],[Supplier Lead time]]+SupplyChain4[[#This Row],[Shipping times]]+SupplyChain4[[#This Row],[Manufacturing lead time]]</f>
        <v>46</v>
      </c>
    </row>
    <row r="85" spans="1:29">
      <c r="A85" t="s">
        <v>22</v>
      </c>
      <c r="B85" t="s">
        <v>135</v>
      </c>
      <c r="C85">
        <v>68.911246211606326</v>
      </c>
      <c r="D85">
        <v>82</v>
      </c>
      <c r="E85">
        <v>663</v>
      </c>
      <c r="F85">
        <v>2411.754632110491</v>
      </c>
      <c r="G85" t="s">
        <v>36</v>
      </c>
      <c r="H85">
        <v>65</v>
      </c>
      <c r="I85">
        <v>24</v>
      </c>
      <c r="J85">
        <v>7</v>
      </c>
      <c r="K85">
        <v>8</v>
      </c>
      <c r="L85" t="s">
        <v>25</v>
      </c>
      <c r="M85" s="13">
        <v>332</v>
      </c>
      <c r="N85" t="s">
        <v>37</v>
      </c>
      <c r="O85" t="s">
        <v>51</v>
      </c>
      <c r="P85">
        <v>443</v>
      </c>
      <c r="Q85">
        <v>5</v>
      </c>
      <c r="R85">
        <v>97.730593800533043</v>
      </c>
      <c r="S85" t="s">
        <v>44</v>
      </c>
      <c r="T85">
        <v>0.77300613406724783</v>
      </c>
      <c r="U85" t="s">
        <v>29</v>
      </c>
      <c r="V85" t="s">
        <v>46</v>
      </c>
      <c r="W85">
        <v>682.97101822609329</v>
      </c>
      <c r="X85">
        <f>SupplyChain4[[#This Row],[Costs]]+SupplyChain4[[#This Row],[Shipping costs]]+SupplyChain4[[#This Row],[Manufacturing costs]]</f>
        <v>1112.7016120266264</v>
      </c>
      <c r="Y85">
        <f>SupplyChain4[[#This Row],[Revenue generated]]-SupplyChain4[[#This Row],[Total Costs]]</f>
        <v>1299.0530200838646</v>
      </c>
      <c r="Z85">
        <f>IF(SupplyChain4[[#This Row],[Stock levels]]=0,"",SupplyChain4[[#This Row],[Number of products sold]]/SupplyChain4[[#This Row],[Stock levels]])</f>
        <v>10.199999999999999</v>
      </c>
      <c r="AA85">
        <f>IFERROR(SupplyChain4[[#This Row],[Revenue generated]]/SupplyChain4[[#This Row],[Number of products sold]],0)</f>
        <v>3.6376389624592624</v>
      </c>
      <c r="AB85">
        <f>IFERROR(SupplyChain4[[#This Row],[Shipping costs]]/SupplyChain4[[#This Row],[Number of products sold]],0)</f>
        <v>0.50075414781297134</v>
      </c>
      <c r="AC85">
        <f>SupplyChain4[[#This Row],[Supplier Lead time]]+SupplyChain4[[#This Row],[Shipping times]]+SupplyChain4[[#This Row],[Manufacturing lead time]]</f>
        <v>37</v>
      </c>
    </row>
    <row r="86" spans="1:29">
      <c r="A86" t="s">
        <v>22</v>
      </c>
      <c r="B86" t="s">
        <v>136</v>
      </c>
      <c r="C86">
        <v>89.104367292102253</v>
      </c>
      <c r="D86">
        <v>99</v>
      </c>
      <c r="E86">
        <v>618</v>
      </c>
      <c r="F86">
        <v>2048.2900998487103</v>
      </c>
      <c r="G86" t="s">
        <v>36</v>
      </c>
      <c r="H86">
        <v>73</v>
      </c>
      <c r="I86">
        <v>26</v>
      </c>
      <c r="J86">
        <v>80</v>
      </c>
      <c r="K86">
        <v>10</v>
      </c>
      <c r="L86" t="s">
        <v>34</v>
      </c>
      <c r="M86" s="13">
        <v>1191</v>
      </c>
      <c r="N86" t="s">
        <v>42</v>
      </c>
      <c r="O86" t="s">
        <v>60</v>
      </c>
      <c r="P86">
        <v>589</v>
      </c>
      <c r="Q86">
        <v>22</v>
      </c>
      <c r="R86">
        <v>33.808636513209095</v>
      </c>
      <c r="S86" t="s">
        <v>62</v>
      </c>
      <c r="T86">
        <v>4.8434565771180411</v>
      </c>
      <c r="U86" t="s">
        <v>38</v>
      </c>
      <c r="V86" t="s">
        <v>30</v>
      </c>
      <c r="W86">
        <v>465.45700596368795</v>
      </c>
      <c r="X86">
        <f>SupplyChain4[[#This Row],[Costs]]+SupplyChain4[[#This Row],[Shipping costs]]+SupplyChain4[[#This Row],[Manufacturing costs]]</f>
        <v>1690.2656424768973</v>
      </c>
      <c r="Y86">
        <f>SupplyChain4[[#This Row],[Revenue generated]]-SupplyChain4[[#This Row],[Total Costs]]</f>
        <v>358.02445737181301</v>
      </c>
      <c r="Z86">
        <f>IF(SupplyChain4[[#This Row],[Stock levels]]=0,"",SupplyChain4[[#This Row],[Number of products sold]]/SupplyChain4[[#This Row],[Stock levels]])</f>
        <v>8.4657534246575334</v>
      </c>
      <c r="AA86">
        <f>IFERROR(SupplyChain4[[#This Row],[Revenue generated]]/SupplyChain4[[#This Row],[Number of products sold]],0)</f>
        <v>3.3143852748361007</v>
      </c>
      <c r="AB86">
        <f>IFERROR(SupplyChain4[[#This Row],[Shipping costs]]/SupplyChain4[[#This Row],[Number of products sold]],0)</f>
        <v>1.9271844660194175</v>
      </c>
      <c r="AC86">
        <f>SupplyChain4[[#This Row],[Supplier Lead time]]+SupplyChain4[[#This Row],[Shipping times]]+SupplyChain4[[#This Row],[Manufacturing lead time]]</f>
        <v>58</v>
      </c>
    </row>
    <row r="87" spans="1:29">
      <c r="A87" t="s">
        <v>55</v>
      </c>
      <c r="B87" t="s">
        <v>137</v>
      </c>
      <c r="C87">
        <v>76.962994415193876</v>
      </c>
      <c r="D87">
        <v>83</v>
      </c>
      <c r="E87">
        <v>25</v>
      </c>
      <c r="F87">
        <v>8684.6130592538575</v>
      </c>
      <c r="G87" t="s">
        <v>33</v>
      </c>
      <c r="H87">
        <v>15</v>
      </c>
      <c r="I87">
        <v>18</v>
      </c>
      <c r="J87">
        <v>66</v>
      </c>
      <c r="K87">
        <v>2</v>
      </c>
      <c r="L87" t="s">
        <v>41</v>
      </c>
      <c r="M87" s="13">
        <v>352</v>
      </c>
      <c r="N87" t="s">
        <v>42</v>
      </c>
      <c r="O87" t="s">
        <v>60</v>
      </c>
      <c r="P87">
        <v>211</v>
      </c>
      <c r="Q87">
        <v>2</v>
      </c>
      <c r="R87">
        <v>69.929345518672307</v>
      </c>
      <c r="S87" t="s">
        <v>44</v>
      </c>
      <c r="T87">
        <v>1.3744289997457582</v>
      </c>
      <c r="U87" t="s">
        <v>29</v>
      </c>
      <c r="V87" t="s">
        <v>30</v>
      </c>
      <c r="W87">
        <v>842.68683000464148</v>
      </c>
      <c r="X87">
        <f>SupplyChain4[[#This Row],[Costs]]+SupplyChain4[[#This Row],[Shipping costs]]+SupplyChain4[[#This Row],[Manufacturing costs]]</f>
        <v>1264.6161755233138</v>
      </c>
      <c r="Y87">
        <f>SupplyChain4[[#This Row],[Revenue generated]]-SupplyChain4[[#This Row],[Total Costs]]</f>
        <v>7419.9968837305441</v>
      </c>
      <c r="Z87">
        <f>IF(SupplyChain4[[#This Row],[Stock levels]]=0,"",SupplyChain4[[#This Row],[Number of products sold]]/SupplyChain4[[#This Row],[Stock levels]])</f>
        <v>1.6666666666666667</v>
      </c>
      <c r="AA87">
        <f>IFERROR(SupplyChain4[[#This Row],[Revenue generated]]/SupplyChain4[[#This Row],[Number of products sold]],0)</f>
        <v>347.38452237015429</v>
      </c>
      <c r="AB87">
        <f>IFERROR(SupplyChain4[[#This Row],[Shipping costs]]/SupplyChain4[[#This Row],[Number of products sold]],0)</f>
        <v>14.08</v>
      </c>
      <c r="AC87">
        <f>SupplyChain4[[#This Row],[Supplier Lead time]]+SupplyChain4[[#This Row],[Shipping times]]+SupplyChain4[[#This Row],[Manufacturing lead time]]</f>
        <v>22</v>
      </c>
    </row>
    <row r="88" spans="1:29">
      <c r="A88" t="s">
        <v>31</v>
      </c>
      <c r="B88" t="s">
        <v>138</v>
      </c>
      <c r="C88">
        <v>19.998176940404221</v>
      </c>
      <c r="D88">
        <v>18</v>
      </c>
      <c r="E88">
        <v>223</v>
      </c>
      <c r="F88">
        <v>1229.5910285649834</v>
      </c>
      <c r="G88" t="s">
        <v>36</v>
      </c>
      <c r="H88">
        <v>32</v>
      </c>
      <c r="I88">
        <v>14</v>
      </c>
      <c r="J88">
        <v>22</v>
      </c>
      <c r="K88">
        <v>6</v>
      </c>
      <c r="L88" t="s">
        <v>25</v>
      </c>
      <c r="M88" s="13">
        <v>821</v>
      </c>
      <c r="N88" t="s">
        <v>37</v>
      </c>
      <c r="O88" t="s">
        <v>27</v>
      </c>
      <c r="P88">
        <v>569</v>
      </c>
      <c r="Q88">
        <v>18</v>
      </c>
      <c r="R88">
        <v>74.608969995194684</v>
      </c>
      <c r="S88" t="s">
        <v>62</v>
      </c>
      <c r="T88">
        <v>2.0515129307662465</v>
      </c>
      <c r="U88" t="s">
        <v>45</v>
      </c>
      <c r="V88" t="s">
        <v>46</v>
      </c>
      <c r="W88">
        <v>264.25488983586649</v>
      </c>
      <c r="X88">
        <f>SupplyChain4[[#This Row],[Costs]]+SupplyChain4[[#This Row],[Shipping costs]]+SupplyChain4[[#This Row],[Manufacturing costs]]</f>
        <v>1159.8638598310611</v>
      </c>
      <c r="Y88">
        <f>SupplyChain4[[#This Row],[Revenue generated]]-SupplyChain4[[#This Row],[Total Costs]]</f>
        <v>69.727168733922326</v>
      </c>
      <c r="Z88">
        <f>IF(SupplyChain4[[#This Row],[Stock levels]]=0,"",SupplyChain4[[#This Row],[Number of products sold]]/SupplyChain4[[#This Row],[Stock levels]])</f>
        <v>6.96875</v>
      </c>
      <c r="AA88">
        <f>IFERROR(SupplyChain4[[#This Row],[Revenue generated]]/SupplyChain4[[#This Row],[Number of products sold]],0)</f>
        <v>5.5138611146411813</v>
      </c>
      <c r="AB88">
        <f>IFERROR(SupplyChain4[[#This Row],[Shipping costs]]/SupplyChain4[[#This Row],[Number of products sold]],0)</f>
        <v>3.6816143497757849</v>
      </c>
      <c r="AC88">
        <f>SupplyChain4[[#This Row],[Supplier Lead time]]+SupplyChain4[[#This Row],[Shipping times]]+SupplyChain4[[#This Row],[Manufacturing lead time]]</f>
        <v>38</v>
      </c>
    </row>
    <row r="89" spans="1:29">
      <c r="A89" t="s">
        <v>22</v>
      </c>
      <c r="B89" t="s">
        <v>139</v>
      </c>
      <c r="C89">
        <v>80.41403665035574</v>
      </c>
      <c r="D89">
        <v>24</v>
      </c>
      <c r="E89">
        <v>79</v>
      </c>
      <c r="F89">
        <v>5133.8467010866916</v>
      </c>
      <c r="G89" t="s">
        <v>53</v>
      </c>
      <c r="H89">
        <v>5</v>
      </c>
      <c r="I89">
        <v>7</v>
      </c>
      <c r="J89">
        <v>55</v>
      </c>
      <c r="K89">
        <v>10</v>
      </c>
      <c r="L89" t="s">
        <v>34</v>
      </c>
      <c r="M89" s="13">
        <v>1030</v>
      </c>
      <c r="N89" t="s">
        <v>26</v>
      </c>
      <c r="O89" t="s">
        <v>60</v>
      </c>
      <c r="P89">
        <v>523</v>
      </c>
      <c r="Q89">
        <v>17</v>
      </c>
      <c r="R89">
        <v>28.69699682414317</v>
      </c>
      <c r="S89" t="s">
        <v>44</v>
      </c>
      <c r="T89">
        <v>3.6937377878392756</v>
      </c>
      <c r="U89" t="s">
        <v>54</v>
      </c>
      <c r="V89" t="s">
        <v>30</v>
      </c>
      <c r="W89">
        <v>879.3592177349243</v>
      </c>
      <c r="X89">
        <f>SupplyChain4[[#This Row],[Costs]]+SupplyChain4[[#This Row],[Shipping costs]]+SupplyChain4[[#This Row],[Manufacturing costs]]</f>
        <v>1938.0562145590673</v>
      </c>
      <c r="Y89">
        <f>SupplyChain4[[#This Row],[Revenue generated]]-SupplyChain4[[#This Row],[Total Costs]]</f>
        <v>3195.7904865276241</v>
      </c>
      <c r="Z89">
        <f>IF(SupplyChain4[[#This Row],[Stock levels]]=0,"",SupplyChain4[[#This Row],[Number of products sold]]/SupplyChain4[[#This Row],[Stock levels]])</f>
        <v>15.8</v>
      </c>
      <c r="AA89">
        <f>IFERROR(SupplyChain4[[#This Row],[Revenue generated]]/SupplyChain4[[#This Row],[Number of products sold]],0)</f>
        <v>64.985401279578369</v>
      </c>
      <c r="AB89">
        <f>IFERROR(SupplyChain4[[#This Row],[Shipping costs]]/SupplyChain4[[#This Row],[Number of products sold]],0)</f>
        <v>13.037974683544304</v>
      </c>
      <c r="AC89">
        <f>SupplyChain4[[#This Row],[Supplier Lead time]]+SupplyChain4[[#This Row],[Shipping times]]+SupplyChain4[[#This Row],[Manufacturing lead time]]</f>
        <v>34</v>
      </c>
    </row>
    <row r="90" spans="1:29">
      <c r="A90" t="s">
        <v>55</v>
      </c>
      <c r="B90" t="s">
        <v>140</v>
      </c>
      <c r="C90">
        <v>75.27040697572501</v>
      </c>
      <c r="D90">
        <v>58</v>
      </c>
      <c r="E90">
        <v>737</v>
      </c>
      <c r="F90">
        <v>9444.7420330629793</v>
      </c>
      <c r="G90" t="s">
        <v>53</v>
      </c>
      <c r="H90">
        <v>60</v>
      </c>
      <c r="I90">
        <v>18</v>
      </c>
      <c r="J90">
        <v>85</v>
      </c>
      <c r="K90">
        <v>7</v>
      </c>
      <c r="L90" t="s">
        <v>34</v>
      </c>
      <c r="M90" s="13">
        <v>849</v>
      </c>
      <c r="N90" t="s">
        <v>59</v>
      </c>
      <c r="O90" t="s">
        <v>27</v>
      </c>
      <c r="P90">
        <v>953</v>
      </c>
      <c r="Q90">
        <v>11</v>
      </c>
      <c r="R90">
        <v>68.184919057041171</v>
      </c>
      <c r="S90" t="s">
        <v>28</v>
      </c>
      <c r="T90">
        <v>0.722204401882931</v>
      </c>
      <c r="U90" t="s">
        <v>54</v>
      </c>
      <c r="V90" t="s">
        <v>46</v>
      </c>
      <c r="W90">
        <v>103.91624796070495</v>
      </c>
      <c r="X90">
        <f>SupplyChain4[[#This Row],[Costs]]+SupplyChain4[[#This Row],[Shipping costs]]+SupplyChain4[[#This Row],[Manufacturing costs]]</f>
        <v>1021.1011670177461</v>
      </c>
      <c r="Y90">
        <f>SupplyChain4[[#This Row],[Revenue generated]]-SupplyChain4[[#This Row],[Total Costs]]</f>
        <v>8423.6408660452325</v>
      </c>
      <c r="Z90">
        <f>IF(SupplyChain4[[#This Row],[Stock levels]]=0,"",SupplyChain4[[#This Row],[Number of products sold]]/SupplyChain4[[#This Row],[Stock levels]])</f>
        <v>12.283333333333333</v>
      </c>
      <c r="AA90">
        <f>IFERROR(SupplyChain4[[#This Row],[Revenue generated]]/SupplyChain4[[#This Row],[Number of products sold]],0)</f>
        <v>12.815118090994545</v>
      </c>
      <c r="AB90">
        <f>IFERROR(SupplyChain4[[#This Row],[Shipping costs]]/SupplyChain4[[#This Row],[Number of products sold]],0)</f>
        <v>1.1519674355495251</v>
      </c>
      <c r="AC90">
        <f>SupplyChain4[[#This Row],[Supplier Lead time]]+SupplyChain4[[#This Row],[Shipping times]]+SupplyChain4[[#This Row],[Manufacturing lead time]]</f>
        <v>36</v>
      </c>
    </row>
    <row r="91" spans="1:29">
      <c r="A91" t="s">
        <v>55</v>
      </c>
      <c r="B91" t="s">
        <v>141</v>
      </c>
      <c r="C91">
        <v>97.760085581938668</v>
      </c>
      <c r="D91">
        <v>10</v>
      </c>
      <c r="E91">
        <v>134</v>
      </c>
      <c r="F91">
        <v>5924.682566853231</v>
      </c>
      <c r="G91" t="s">
        <v>36</v>
      </c>
      <c r="H91">
        <v>90</v>
      </c>
      <c r="I91">
        <v>1</v>
      </c>
      <c r="J91">
        <v>27</v>
      </c>
      <c r="K91">
        <v>8</v>
      </c>
      <c r="L91" t="s">
        <v>25</v>
      </c>
      <c r="M91" s="13">
        <v>1126</v>
      </c>
      <c r="N91" t="s">
        <v>37</v>
      </c>
      <c r="O91" t="s">
        <v>43</v>
      </c>
      <c r="P91">
        <v>370</v>
      </c>
      <c r="Q91">
        <v>11</v>
      </c>
      <c r="R91">
        <v>46.603873381644469</v>
      </c>
      <c r="S91" t="s">
        <v>28</v>
      </c>
      <c r="T91">
        <v>1.9076657339590746</v>
      </c>
      <c r="U91" t="s">
        <v>45</v>
      </c>
      <c r="V91" t="s">
        <v>30</v>
      </c>
      <c r="W91">
        <v>517.4999739290605</v>
      </c>
      <c r="X91">
        <f>SupplyChain4[[#This Row],[Costs]]+SupplyChain4[[#This Row],[Shipping costs]]+SupplyChain4[[#This Row],[Manufacturing costs]]</f>
        <v>1690.1038473107051</v>
      </c>
      <c r="Y91">
        <f>SupplyChain4[[#This Row],[Revenue generated]]-SupplyChain4[[#This Row],[Total Costs]]</f>
        <v>4234.5787195425255</v>
      </c>
      <c r="Z91">
        <f>IF(SupplyChain4[[#This Row],[Stock levels]]=0,"",SupplyChain4[[#This Row],[Number of products sold]]/SupplyChain4[[#This Row],[Stock levels]])</f>
        <v>1.4888888888888889</v>
      </c>
      <c r="AA91">
        <f>IFERROR(SupplyChain4[[#This Row],[Revenue generated]]/SupplyChain4[[#This Row],[Number of products sold]],0)</f>
        <v>44.214049006367397</v>
      </c>
      <c r="AB91">
        <f>IFERROR(SupplyChain4[[#This Row],[Shipping costs]]/SupplyChain4[[#This Row],[Number of products sold]],0)</f>
        <v>8.4029850746268657</v>
      </c>
      <c r="AC91">
        <f>SupplyChain4[[#This Row],[Supplier Lead time]]+SupplyChain4[[#This Row],[Shipping times]]+SupplyChain4[[#This Row],[Manufacturing lead time]]</f>
        <v>20</v>
      </c>
    </row>
    <row r="92" spans="1:29">
      <c r="A92" t="s">
        <v>31</v>
      </c>
      <c r="B92" t="s">
        <v>142</v>
      </c>
      <c r="C92">
        <v>13.881913501359142</v>
      </c>
      <c r="D92">
        <v>56</v>
      </c>
      <c r="E92">
        <v>320</v>
      </c>
      <c r="F92">
        <v>9592.6335702803117</v>
      </c>
      <c r="G92" t="s">
        <v>24</v>
      </c>
      <c r="H92">
        <v>66</v>
      </c>
      <c r="I92">
        <v>18</v>
      </c>
      <c r="J92">
        <v>96</v>
      </c>
      <c r="K92">
        <v>7</v>
      </c>
      <c r="L92" t="s">
        <v>25</v>
      </c>
      <c r="M92" s="13">
        <v>176</v>
      </c>
      <c r="N92" t="s">
        <v>26</v>
      </c>
      <c r="O92" t="s">
        <v>51</v>
      </c>
      <c r="P92">
        <v>585</v>
      </c>
      <c r="Q92">
        <v>8</v>
      </c>
      <c r="R92">
        <v>85.675963335797974</v>
      </c>
      <c r="S92" t="s">
        <v>62</v>
      </c>
      <c r="T92">
        <v>1.2193822244013885</v>
      </c>
      <c r="U92" t="s">
        <v>45</v>
      </c>
      <c r="V92" t="s">
        <v>30</v>
      </c>
      <c r="W92">
        <v>990.07847250581119</v>
      </c>
      <c r="X92">
        <f>SupplyChain4[[#This Row],[Costs]]+SupplyChain4[[#This Row],[Shipping costs]]+SupplyChain4[[#This Row],[Manufacturing costs]]</f>
        <v>1251.7544358416089</v>
      </c>
      <c r="Y92">
        <f>SupplyChain4[[#This Row],[Revenue generated]]-SupplyChain4[[#This Row],[Total Costs]]</f>
        <v>8340.8791344387027</v>
      </c>
      <c r="Z92">
        <f>IF(SupplyChain4[[#This Row],[Stock levels]]=0,"",SupplyChain4[[#This Row],[Number of products sold]]/SupplyChain4[[#This Row],[Stock levels]])</f>
        <v>4.8484848484848486</v>
      </c>
      <c r="AA92">
        <f>IFERROR(SupplyChain4[[#This Row],[Revenue generated]]/SupplyChain4[[#This Row],[Number of products sold]],0)</f>
        <v>29.976979907125973</v>
      </c>
      <c r="AB92">
        <f>IFERROR(SupplyChain4[[#This Row],[Shipping costs]]/SupplyChain4[[#This Row],[Number of products sold]],0)</f>
        <v>0.55000000000000004</v>
      </c>
      <c r="AC92">
        <f>SupplyChain4[[#This Row],[Supplier Lead time]]+SupplyChain4[[#This Row],[Shipping times]]+SupplyChain4[[#This Row],[Manufacturing lead time]]</f>
        <v>33</v>
      </c>
    </row>
    <row r="93" spans="1:29">
      <c r="A93" t="s">
        <v>55</v>
      </c>
      <c r="B93" t="s">
        <v>143</v>
      </c>
      <c r="C93">
        <v>62.111965463961788</v>
      </c>
      <c r="D93">
        <v>90</v>
      </c>
      <c r="E93">
        <v>916</v>
      </c>
      <c r="F93">
        <v>1935.2067935075991</v>
      </c>
      <c r="G93" t="s">
        <v>53</v>
      </c>
      <c r="H93">
        <v>98</v>
      </c>
      <c r="I93">
        <v>22</v>
      </c>
      <c r="J93">
        <v>85</v>
      </c>
      <c r="K93">
        <v>7</v>
      </c>
      <c r="L93" t="s">
        <v>25</v>
      </c>
      <c r="M93" s="13">
        <v>553</v>
      </c>
      <c r="N93" t="s">
        <v>50</v>
      </c>
      <c r="O93" t="s">
        <v>48</v>
      </c>
      <c r="P93">
        <v>207</v>
      </c>
      <c r="Q93">
        <v>28</v>
      </c>
      <c r="R93">
        <v>39.772882502339975</v>
      </c>
      <c r="S93" t="s">
        <v>28</v>
      </c>
      <c r="T93">
        <v>0.62600185820939458</v>
      </c>
      <c r="U93" t="s">
        <v>45</v>
      </c>
      <c r="V93" t="s">
        <v>30</v>
      </c>
      <c r="W93">
        <v>996.77831495062378</v>
      </c>
      <c r="X93">
        <f>SupplyChain4[[#This Row],[Costs]]+SupplyChain4[[#This Row],[Shipping costs]]+SupplyChain4[[#This Row],[Manufacturing costs]]</f>
        <v>1589.5511974529638</v>
      </c>
      <c r="Y93">
        <f>SupplyChain4[[#This Row],[Revenue generated]]-SupplyChain4[[#This Row],[Total Costs]]</f>
        <v>345.65559605463523</v>
      </c>
      <c r="Z93">
        <f>IF(SupplyChain4[[#This Row],[Stock levels]]=0,"",SupplyChain4[[#This Row],[Number of products sold]]/SupplyChain4[[#This Row],[Stock levels]])</f>
        <v>9.3469387755102034</v>
      </c>
      <c r="AA93">
        <f>IFERROR(SupplyChain4[[#This Row],[Revenue generated]]/SupplyChain4[[#This Row],[Number of products sold]],0)</f>
        <v>2.1126711719515274</v>
      </c>
      <c r="AB93">
        <f>IFERROR(SupplyChain4[[#This Row],[Shipping costs]]/SupplyChain4[[#This Row],[Number of products sold]],0)</f>
        <v>0.60371179039301315</v>
      </c>
      <c r="AC93">
        <f>SupplyChain4[[#This Row],[Supplier Lead time]]+SupplyChain4[[#This Row],[Shipping times]]+SupplyChain4[[#This Row],[Manufacturing lead time]]</f>
        <v>57</v>
      </c>
    </row>
    <row r="94" spans="1:29">
      <c r="A94" t="s">
        <v>55</v>
      </c>
      <c r="B94" t="s">
        <v>144</v>
      </c>
      <c r="C94">
        <v>47.714233075820232</v>
      </c>
      <c r="D94">
        <v>44</v>
      </c>
      <c r="E94">
        <v>276</v>
      </c>
      <c r="F94">
        <v>2100.1297546259366</v>
      </c>
      <c r="G94" t="s">
        <v>53</v>
      </c>
      <c r="H94">
        <v>90</v>
      </c>
      <c r="I94">
        <v>25</v>
      </c>
      <c r="J94">
        <v>10</v>
      </c>
      <c r="K94">
        <v>8</v>
      </c>
      <c r="L94" t="s">
        <v>25</v>
      </c>
      <c r="M94" s="13">
        <v>535</v>
      </c>
      <c r="N94" t="s">
        <v>59</v>
      </c>
      <c r="O94" t="s">
        <v>27</v>
      </c>
      <c r="P94">
        <v>671</v>
      </c>
      <c r="Q94">
        <v>29</v>
      </c>
      <c r="R94">
        <v>62.612690395614344</v>
      </c>
      <c r="S94" t="s">
        <v>62</v>
      </c>
      <c r="T94">
        <v>0.33343182522473924</v>
      </c>
      <c r="U94" t="s">
        <v>45</v>
      </c>
      <c r="V94" t="s">
        <v>30</v>
      </c>
      <c r="W94">
        <v>230.09278253676294</v>
      </c>
      <c r="X94">
        <f>SupplyChain4[[#This Row],[Costs]]+SupplyChain4[[#This Row],[Shipping costs]]+SupplyChain4[[#This Row],[Manufacturing costs]]</f>
        <v>827.70547293237723</v>
      </c>
      <c r="Y94">
        <f>SupplyChain4[[#This Row],[Revenue generated]]-SupplyChain4[[#This Row],[Total Costs]]</f>
        <v>1272.4242816935594</v>
      </c>
      <c r="Z94">
        <f>IF(SupplyChain4[[#This Row],[Stock levels]]=0,"",SupplyChain4[[#This Row],[Number of products sold]]/SupplyChain4[[#This Row],[Stock levels]])</f>
        <v>3.0666666666666669</v>
      </c>
      <c r="AA94">
        <f>IFERROR(SupplyChain4[[#This Row],[Revenue generated]]/SupplyChain4[[#This Row],[Number of products sold]],0)</f>
        <v>7.6091657776302046</v>
      </c>
      <c r="AB94">
        <f>IFERROR(SupplyChain4[[#This Row],[Shipping costs]]/SupplyChain4[[#This Row],[Number of products sold]],0)</f>
        <v>1.9384057971014492</v>
      </c>
      <c r="AC94">
        <f>SupplyChain4[[#This Row],[Supplier Lead time]]+SupplyChain4[[#This Row],[Shipping times]]+SupplyChain4[[#This Row],[Manufacturing lead time]]</f>
        <v>62</v>
      </c>
    </row>
    <row r="95" spans="1:29">
      <c r="A95" t="s">
        <v>22</v>
      </c>
      <c r="B95" t="s">
        <v>145</v>
      </c>
      <c r="C95">
        <v>69.290831002905492</v>
      </c>
      <c r="D95">
        <v>88</v>
      </c>
      <c r="E95">
        <v>114</v>
      </c>
      <c r="F95">
        <v>4531.4021336919095</v>
      </c>
      <c r="G95" t="s">
        <v>36</v>
      </c>
      <c r="H95">
        <v>63</v>
      </c>
      <c r="I95">
        <v>17</v>
      </c>
      <c r="J95">
        <v>66</v>
      </c>
      <c r="K95">
        <v>1</v>
      </c>
      <c r="L95" t="s">
        <v>41</v>
      </c>
      <c r="M95" s="13">
        <v>144</v>
      </c>
      <c r="N95" t="s">
        <v>50</v>
      </c>
      <c r="O95" t="s">
        <v>60</v>
      </c>
      <c r="P95">
        <v>824</v>
      </c>
      <c r="Q95">
        <v>20</v>
      </c>
      <c r="R95">
        <v>35.633652343343876</v>
      </c>
      <c r="S95" t="s">
        <v>44</v>
      </c>
      <c r="T95">
        <v>4.1657817954241452</v>
      </c>
      <c r="U95" t="s">
        <v>38</v>
      </c>
      <c r="V95" t="s">
        <v>46</v>
      </c>
      <c r="W95">
        <v>823.52384588815585</v>
      </c>
      <c r="X95">
        <f>SupplyChain4[[#This Row],[Costs]]+SupplyChain4[[#This Row],[Shipping costs]]+SupplyChain4[[#This Row],[Manufacturing costs]]</f>
        <v>1003.1574982314997</v>
      </c>
      <c r="Y95">
        <f>SupplyChain4[[#This Row],[Revenue generated]]-SupplyChain4[[#This Row],[Total Costs]]</f>
        <v>3528.2446354604099</v>
      </c>
      <c r="Z95">
        <f>IF(SupplyChain4[[#This Row],[Stock levels]]=0,"",SupplyChain4[[#This Row],[Number of products sold]]/SupplyChain4[[#This Row],[Stock levels]])</f>
        <v>1.8095238095238095</v>
      </c>
      <c r="AA95">
        <f>IFERROR(SupplyChain4[[#This Row],[Revenue generated]]/SupplyChain4[[#This Row],[Number of products sold]],0)</f>
        <v>39.74914152361324</v>
      </c>
      <c r="AB95">
        <f>IFERROR(SupplyChain4[[#This Row],[Shipping costs]]/SupplyChain4[[#This Row],[Number of products sold]],0)</f>
        <v>1.263157894736842</v>
      </c>
      <c r="AC95">
        <f>SupplyChain4[[#This Row],[Supplier Lead time]]+SupplyChain4[[#This Row],[Shipping times]]+SupplyChain4[[#This Row],[Manufacturing lead time]]</f>
        <v>38</v>
      </c>
    </row>
    <row r="96" spans="1:29">
      <c r="A96" t="s">
        <v>55</v>
      </c>
      <c r="B96" t="s">
        <v>146</v>
      </c>
      <c r="C96">
        <v>3.0376887246314141</v>
      </c>
      <c r="D96">
        <v>97</v>
      </c>
      <c r="E96">
        <v>987</v>
      </c>
      <c r="F96">
        <v>7888.3565466618729</v>
      </c>
      <c r="G96" t="s">
        <v>36</v>
      </c>
      <c r="H96">
        <v>77</v>
      </c>
      <c r="I96">
        <v>26</v>
      </c>
      <c r="J96">
        <v>72</v>
      </c>
      <c r="K96">
        <v>9</v>
      </c>
      <c r="L96" t="s">
        <v>25</v>
      </c>
      <c r="M96" s="13">
        <v>199</v>
      </c>
      <c r="N96" t="s">
        <v>59</v>
      </c>
      <c r="O96" t="s">
        <v>48</v>
      </c>
      <c r="P96">
        <v>908</v>
      </c>
      <c r="Q96">
        <v>14</v>
      </c>
      <c r="R96">
        <v>60.387378614862122</v>
      </c>
      <c r="S96" t="s">
        <v>62</v>
      </c>
      <c r="T96">
        <v>1.4636074984727798</v>
      </c>
      <c r="U96" t="s">
        <v>45</v>
      </c>
      <c r="V96" t="s">
        <v>30</v>
      </c>
      <c r="W96">
        <v>846.66525698669477</v>
      </c>
      <c r="X96">
        <f>SupplyChain4[[#This Row],[Costs]]+SupplyChain4[[#This Row],[Shipping costs]]+SupplyChain4[[#This Row],[Manufacturing costs]]</f>
        <v>1106.0526356015569</v>
      </c>
      <c r="Y96">
        <f>SupplyChain4[[#This Row],[Revenue generated]]-SupplyChain4[[#This Row],[Total Costs]]</f>
        <v>6782.3039110603158</v>
      </c>
      <c r="Z96">
        <f>IF(SupplyChain4[[#This Row],[Stock levels]]=0,"",SupplyChain4[[#This Row],[Number of products sold]]/SupplyChain4[[#This Row],[Stock levels]])</f>
        <v>12.818181818181818</v>
      </c>
      <c r="AA96">
        <f>IFERROR(SupplyChain4[[#This Row],[Revenue generated]]/SupplyChain4[[#This Row],[Number of products sold]],0)</f>
        <v>7.9922558730110165</v>
      </c>
      <c r="AB96">
        <f>IFERROR(SupplyChain4[[#This Row],[Shipping costs]]/SupplyChain4[[#This Row],[Number of products sold]],0)</f>
        <v>0.2016210739614995</v>
      </c>
      <c r="AC96">
        <f>SupplyChain4[[#This Row],[Supplier Lead time]]+SupplyChain4[[#This Row],[Shipping times]]+SupplyChain4[[#This Row],[Manufacturing lead time]]</f>
        <v>49</v>
      </c>
    </row>
    <row r="97" spans="1:29">
      <c r="A97" t="s">
        <v>22</v>
      </c>
      <c r="B97" t="s">
        <v>147</v>
      </c>
      <c r="C97">
        <v>77.903927219447752</v>
      </c>
      <c r="D97">
        <v>65</v>
      </c>
      <c r="E97">
        <v>672</v>
      </c>
      <c r="F97">
        <v>7386.3639440486641</v>
      </c>
      <c r="G97" t="s">
        <v>36</v>
      </c>
      <c r="H97">
        <v>15</v>
      </c>
      <c r="I97">
        <v>14</v>
      </c>
      <c r="J97">
        <v>26</v>
      </c>
      <c r="K97">
        <v>9</v>
      </c>
      <c r="L97" t="s">
        <v>25</v>
      </c>
      <c r="M97" s="13">
        <v>782</v>
      </c>
      <c r="N97" t="s">
        <v>50</v>
      </c>
      <c r="O97" t="s">
        <v>27</v>
      </c>
      <c r="P97">
        <v>450</v>
      </c>
      <c r="Q97">
        <v>26</v>
      </c>
      <c r="R97">
        <v>58.890685768589982</v>
      </c>
      <c r="S97" t="s">
        <v>28</v>
      </c>
      <c r="T97">
        <v>1.2108821295850665</v>
      </c>
      <c r="U97" t="s">
        <v>38</v>
      </c>
      <c r="V97" t="s">
        <v>46</v>
      </c>
      <c r="W97">
        <v>778.8642413766479</v>
      </c>
      <c r="X97">
        <f>SupplyChain4[[#This Row],[Costs]]+SupplyChain4[[#This Row],[Shipping costs]]+SupplyChain4[[#This Row],[Manufacturing costs]]</f>
        <v>1619.7549271452378</v>
      </c>
      <c r="Y97">
        <f>SupplyChain4[[#This Row],[Revenue generated]]-SupplyChain4[[#This Row],[Total Costs]]</f>
        <v>5766.609016903426</v>
      </c>
      <c r="Z97">
        <f>IF(SupplyChain4[[#This Row],[Stock levels]]=0,"",SupplyChain4[[#This Row],[Number of products sold]]/SupplyChain4[[#This Row],[Stock levels]])</f>
        <v>44.8</v>
      </c>
      <c r="AA97">
        <f>IFERROR(SupplyChain4[[#This Row],[Revenue generated]]/SupplyChain4[[#This Row],[Number of products sold]],0)</f>
        <v>10.991613011977179</v>
      </c>
      <c r="AB97">
        <f>IFERROR(SupplyChain4[[#This Row],[Shipping costs]]/SupplyChain4[[#This Row],[Number of products sold]],0)</f>
        <v>1.1636904761904763</v>
      </c>
      <c r="AC97">
        <f>SupplyChain4[[#This Row],[Supplier Lead time]]+SupplyChain4[[#This Row],[Shipping times]]+SupplyChain4[[#This Row],[Manufacturing lead time]]</f>
        <v>49</v>
      </c>
    </row>
    <row r="98" spans="1:29">
      <c r="A98" t="s">
        <v>55</v>
      </c>
      <c r="B98" t="s">
        <v>148</v>
      </c>
      <c r="C98">
        <v>24.42313142037338</v>
      </c>
      <c r="D98">
        <v>29</v>
      </c>
      <c r="E98">
        <v>324</v>
      </c>
      <c r="F98">
        <v>7698.4247656321168</v>
      </c>
      <c r="G98" t="s">
        <v>24</v>
      </c>
      <c r="H98">
        <v>67</v>
      </c>
      <c r="I98">
        <v>2</v>
      </c>
      <c r="J98">
        <v>32</v>
      </c>
      <c r="K98">
        <v>3</v>
      </c>
      <c r="L98" t="s">
        <v>41</v>
      </c>
      <c r="M98" s="13">
        <v>370</v>
      </c>
      <c r="N98" t="s">
        <v>26</v>
      </c>
      <c r="O98" t="s">
        <v>27</v>
      </c>
      <c r="P98">
        <v>648</v>
      </c>
      <c r="Q98">
        <v>28</v>
      </c>
      <c r="R98">
        <v>17.80375633139127</v>
      </c>
      <c r="S98" t="s">
        <v>28</v>
      </c>
      <c r="T98">
        <v>3.8720476814821332</v>
      </c>
      <c r="U98" t="s">
        <v>29</v>
      </c>
      <c r="V98" t="s">
        <v>46</v>
      </c>
      <c r="W98">
        <v>188.74214114905698</v>
      </c>
      <c r="X98">
        <f>SupplyChain4[[#This Row],[Costs]]+SupplyChain4[[#This Row],[Shipping costs]]+SupplyChain4[[#This Row],[Manufacturing costs]]</f>
        <v>576.54589748044828</v>
      </c>
      <c r="Y98">
        <f>SupplyChain4[[#This Row],[Revenue generated]]-SupplyChain4[[#This Row],[Total Costs]]</f>
        <v>7121.8788681516689</v>
      </c>
      <c r="Z98">
        <f>IF(SupplyChain4[[#This Row],[Stock levels]]=0,"",SupplyChain4[[#This Row],[Number of products sold]]/SupplyChain4[[#This Row],[Stock levels]])</f>
        <v>4.8358208955223878</v>
      </c>
      <c r="AA98">
        <f>IFERROR(SupplyChain4[[#This Row],[Revenue generated]]/SupplyChain4[[#This Row],[Number of products sold]],0)</f>
        <v>23.760570264296657</v>
      </c>
      <c r="AB98">
        <f>IFERROR(SupplyChain4[[#This Row],[Shipping costs]]/SupplyChain4[[#This Row],[Number of products sold]],0)</f>
        <v>1.1419753086419753</v>
      </c>
      <c r="AC98">
        <f>SupplyChain4[[#This Row],[Supplier Lead time]]+SupplyChain4[[#This Row],[Shipping times]]+SupplyChain4[[#This Row],[Manufacturing lead time]]</f>
        <v>33</v>
      </c>
    </row>
    <row r="99" spans="1:29">
      <c r="A99" t="s">
        <v>22</v>
      </c>
      <c r="B99" t="s">
        <v>149</v>
      </c>
      <c r="C99">
        <v>3.5261112591434158</v>
      </c>
      <c r="D99">
        <v>56</v>
      </c>
      <c r="E99">
        <v>62</v>
      </c>
      <c r="F99">
        <v>4370.9165799845359</v>
      </c>
      <c r="G99" t="s">
        <v>53</v>
      </c>
      <c r="H99">
        <v>46</v>
      </c>
      <c r="I99">
        <v>19</v>
      </c>
      <c r="J99">
        <v>4</v>
      </c>
      <c r="K99">
        <v>9</v>
      </c>
      <c r="L99" t="s">
        <v>34</v>
      </c>
      <c r="M99" s="13">
        <v>508</v>
      </c>
      <c r="N99" t="s">
        <v>50</v>
      </c>
      <c r="O99" t="s">
        <v>27</v>
      </c>
      <c r="P99">
        <v>535</v>
      </c>
      <c r="Q99">
        <v>13</v>
      </c>
      <c r="R99">
        <v>65.765155926367456</v>
      </c>
      <c r="S99" t="s">
        <v>44</v>
      </c>
      <c r="T99">
        <v>3.3762378347179811</v>
      </c>
      <c r="U99" t="s">
        <v>29</v>
      </c>
      <c r="V99" t="s">
        <v>46</v>
      </c>
      <c r="W99">
        <v>540.13242286796776</v>
      </c>
      <c r="X99">
        <f>SupplyChain4[[#This Row],[Costs]]+SupplyChain4[[#This Row],[Shipping costs]]+SupplyChain4[[#This Row],[Manufacturing costs]]</f>
        <v>1113.8975787943352</v>
      </c>
      <c r="Y99">
        <f>SupplyChain4[[#This Row],[Revenue generated]]-SupplyChain4[[#This Row],[Total Costs]]</f>
        <v>3257.0190011902005</v>
      </c>
      <c r="Z99">
        <f>IF(SupplyChain4[[#This Row],[Stock levels]]=0,"",SupplyChain4[[#This Row],[Number of products sold]]/SupplyChain4[[#This Row],[Stock levels]])</f>
        <v>1.3478260869565217</v>
      </c>
      <c r="AA99">
        <f>IFERROR(SupplyChain4[[#This Row],[Revenue generated]]/SupplyChain4[[#This Row],[Number of products sold]],0)</f>
        <v>70.498654515879608</v>
      </c>
      <c r="AB99">
        <f>IFERROR(SupplyChain4[[#This Row],[Shipping costs]]/SupplyChain4[[#This Row],[Number of products sold]],0)</f>
        <v>8.193548387096774</v>
      </c>
      <c r="AC99">
        <f>SupplyChain4[[#This Row],[Supplier Lead time]]+SupplyChain4[[#This Row],[Shipping times]]+SupplyChain4[[#This Row],[Manufacturing lead time]]</f>
        <v>41</v>
      </c>
    </row>
    <row r="100" spans="1:29">
      <c r="A100" t="s">
        <v>31</v>
      </c>
      <c r="B100" t="s">
        <v>150</v>
      </c>
      <c r="C100">
        <v>19.754604866878601</v>
      </c>
      <c r="D100">
        <v>43</v>
      </c>
      <c r="E100">
        <v>913</v>
      </c>
      <c r="F100">
        <v>8525.9525596835265</v>
      </c>
      <c r="G100" t="s">
        <v>33</v>
      </c>
      <c r="H100">
        <v>53</v>
      </c>
      <c r="I100">
        <v>1</v>
      </c>
      <c r="J100">
        <v>27</v>
      </c>
      <c r="K100">
        <v>7</v>
      </c>
      <c r="L100" t="s">
        <v>25</v>
      </c>
      <c r="M100" s="13">
        <v>1109</v>
      </c>
      <c r="N100" t="s">
        <v>42</v>
      </c>
      <c r="O100" t="s">
        <v>60</v>
      </c>
      <c r="P100">
        <v>581</v>
      </c>
      <c r="Q100">
        <v>9</v>
      </c>
      <c r="R100">
        <v>5.604690864371781</v>
      </c>
      <c r="S100" t="s">
        <v>28</v>
      </c>
      <c r="T100">
        <v>2.9081221693512611</v>
      </c>
      <c r="U100" t="s">
        <v>45</v>
      </c>
      <c r="V100" t="s">
        <v>46</v>
      </c>
      <c r="W100">
        <v>882.19886354704147</v>
      </c>
      <c r="X100">
        <f>SupplyChain4[[#This Row],[Costs]]+SupplyChain4[[#This Row],[Shipping costs]]+SupplyChain4[[#This Row],[Manufacturing costs]]</f>
        <v>1996.8035544114134</v>
      </c>
      <c r="Y100">
        <f>SupplyChain4[[#This Row],[Revenue generated]]-SupplyChain4[[#This Row],[Total Costs]]</f>
        <v>6529.1490052721128</v>
      </c>
      <c r="Z100">
        <f>IF(SupplyChain4[[#This Row],[Stock levels]]=0,"",SupplyChain4[[#This Row],[Number of products sold]]/SupplyChain4[[#This Row],[Stock levels]])</f>
        <v>17.226415094339622</v>
      </c>
      <c r="AA100">
        <f>IFERROR(SupplyChain4[[#This Row],[Revenue generated]]/SupplyChain4[[#This Row],[Number of products sold]],0)</f>
        <v>9.3383927269260969</v>
      </c>
      <c r="AB100">
        <f>IFERROR(SupplyChain4[[#This Row],[Shipping costs]]/SupplyChain4[[#This Row],[Number of products sold]],0)</f>
        <v>1.2146768893756845</v>
      </c>
      <c r="AC100">
        <f>SupplyChain4[[#This Row],[Supplier Lead time]]+SupplyChain4[[#This Row],[Shipping times]]+SupplyChain4[[#This Row],[Manufacturing lead time]]</f>
        <v>17</v>
      </c>
    </row>
    <row r="101" spans="1:29">
      <c r="A101" t="s">
        <v>22</v>
      </c>
      <c r="B101" t="s">
        <v>151</v>
      </c>
      <c r="C101">
        <v>68.517832699276639</v>
      </c>
      <c r="D101">
        <v>17</v>
      </c>
      <c r="E101">
        <v>627</v>
      </c>
      <c r="F101">
        <v>9185.1858291817043</v>
      </c>
      <c r="G101" t="s">
        <v>36</v>
      </c>
      <c r="H101">
        <v>55</v>
      </c>
      <c r="I101">
        <v>8</v>
      </c>
      <c r="J101">
        <v>59</v>
      </c>
      <c r="K101">
        <v>6</v>
      </c>
      <c r="L101" t="s">
        <v>25</v>
      </c>
      <c r="M101" s="13">
        <v>228</v>
      </c>
      <c r="N101" t="s">
        <v>59</v>
      </c>
      <c r="O101" t="s">
        <v>60</v>
      </c>
      <c r="P101">
        <v>921</v>
      </c>
      <c r="Q101">
        <v>2</v>
      </c>
      <c r="R101">
        <v>38.07289852062604</v>
      </c>
      <c r="S101" t="s">
        <v>44</v>
      </c>
      <c r="T101">
        <v>0.34602729070550342</v>
      </c>
      <c r="U101" t="s">
        <v>45</v>
      </c>
      <c r="V101" t="s">
        <v>30</v>
      </c>
      <c r="W101">
        <v>210.74300896424614</v>
      </c>
      <c r="X101">
        <f>SupplyChain4[[#This Row],[Costs]]+SupplyChain4[[#This Row],[Shipping costs]]+SupplyChain4[[#This Row],[Manufacturing costs]]</f>
        <v>476.81590748487218</v>
      </c>
      <c r="Y101">
        <f>SupplyChain4[[#This Row],[Revenue generated]]-SupplyChain4[[#This Row],[Total Costs]]</f>
        <v>8708.3699216968325</v>
      </c>
      <c r="Z101">
        <f>IF(SupplyChain4[[#This Row],[Stock levels]]=0,"",SupplyChain4[[#This Row],[Number of products sold]]/SupplyChain4[[#This Row],[Stock levels]])</f>
        <v>11.4</v>
      </c>
      <c r="AA101">
        <f>IFERROR(SupplyChain4[[#This Row],[Revenue generated]]/SupplyChain4[[#This Row],[Number of products sold]],0)</f>
        <v>14.649419185297774</v>
      </c>
      <c r="AB101">
        <f>IFERROR(SupplyChain4[[#This Row],[Shipping costs]]/SupplyChain4[[#This Row],[Number of products sold]],0)</f>
        <v>0.36363636363636365</v>
      </c>
      <c r="AC101">
        <f>SupplyChain4[[#This Row],[Supplier Lead time]]+SupplyChain4[[#This Row],[Shipping times]]+SupplyChain4[[#This Row],[Manufacturing lead time]]</f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CA6B-60C4-47E3-B9D0-FB3A048D0A16}">
  <dimension ref="A1:C32"/>
  <sheetViews>
    <sheetView workbookViewId="0">
      <selection activeCell="H3" sqref="H3"/>
    </sheetView>
  </sheetViews>
  <sheetFormatPr defaultRowHeight="15"/>
  <cols>
    <col min="1" max="1" width="15" customWidth="1"/>
    <col min="2" max="2" width="25.28515625" customWidth="1"/>
    <col min="3" max="3" width="13.140625" customWidth="1"/>
  </cols>
  <sheetData>
    <row r="1" spans="1:3">
      <c r="A1" t="s">
        <v>174</v>
      </c>
      <c r="B1" t="s">
        <v>158</v>
      </c>
      <c r="C1" t="s">
        <v>159</v>
      </c>
    </row>
    <row r="2" spans="1:3">
      <c r="A2" t="s">
        <v>178</v>
      </c>
      <c r="B2" t="s">
        <v>160</v>
      </c>
      <c r="C2" s="2">
        <f>SUM(Clean_Data!F:F)</f>
        <v>577604.81873800862</v>
      </c>
    </row>
    <row r="3" spans="1:3">
      <c r="A3" t="s">
        <v>178</v>
      </c>
      <c r="B3" t="s">
        <v>161</v>
      </c>
      <c r="C3">
        <f>SUM(Clean_Data!E:E)</f>
        <v>46726</v>
      </c>
    </row>
    <row r="4" spans="1:3">
      <c r="A4" t="s">
        <v>178</v>
      </c>
      <c r="B4" t="s">
        <v>162</v>
      </c>
      <c r="C4" s="2">
        <f>AVERAGE(Clean_Data!C:C)</f>
        <v>49.462461344643678</v>
      </c>
    </row>
    <row r="5" spans="1:3">
      <c r="A5" t="s">
        <v>178</v>
      </c>
      <c r="B5" t="s">
        <v>163</v>
      </c>
      <c r="C5" s="2">
        <f>AVERAGE(SupplyChain4[Revenue Per Unit])</f>
        <v>29.534957191615248</v>
      </c>
    </row>
    <row r="6" spans="1:3">
      <c r="C6" s="2"/>
    </row>
    <row r="7" spans="1:3">
      <c r="A7" t="s">
        <v>179</v>
      </c>
      <c r="B7" t="s">
        <v>164</v>
      </c>
      <c r="C7">
        <f>AVERAGE(Clean_Data!H:H)</f>
        <v>48.23</v>
      </c>
    </row>
    <row r="8" spans="1:3">
      <c r="A8" t="s">
        <v>179</v>
      </c>
      <c r="B8" t="s">
        <v>165</v>
      </c>
      <c r="C8">
        <f>SUM(Clean_Data!H:H)</f>
        <v>4823</v>
      </c>
    </row>
    <row r="9" spans="1:3">
      <c r="A9" t="s">
        <v>179</v>
      </c>
      <c r="B9" t="s">
        <v>166</v>
      </c>
      <c r="C9">
        <f>AVERAGE(Clean_Data!D:D)</f>
        <v>48.4</v>
      </c>
    </row>
    <row r="10" spans="1:3">
      <c r="A10" t="s">
        <v>179</v>
      </c>
      <c r="B10" t="s">
        <v>167</v>
      </c>
      <c r="C10" s="12">
        <f>SUM(Clean_Data!E:E)/SUM(Clean_Data!H:H)</f>
        <v>9.6881608957080658</v>
      </c>
    </row>
    <row r="12" spans="1:3">
      <c r="A12" t="s">
        <v>180</v>
      </c>
      <c r="B12" t="s">
        <v>168</v>
      </c>
      <c r="C12" s="2">
        <f>SUM(Clean_Data!R:R)</f>
        <v>4726.6693241469911</v>
      </c>
    </row>
    <row r="13" spans="1:3">
      <c r="A13" t="s">
        <v>180</v>
      </c>
      <c r="B13" t="s">
        <v>169</v>
      </c>
      <c r="C13" s="2">
        <f>SUM(Clean_Data!M:M)</f>
        <v>63905</v>
      </c>
    </row>
    <row r="14" spans="1:3">
      <c r="A14" t="s">
        <v>180</v>
      </c>
      <c r="B14" t="s">
        <v>170</v>
      </c>
      <c r="C14" s="2">
        <f>SUM(Clean_Data!X:X)</f>
        <v>121556.24753996114</v>
      </c>
    </row>
    <row r="15" spans="1:3">
      <c r="A15" t="s">
        <v>180</v>
      </c>
      <c r="B15" t="s">
        <v>171</v>
      </c>
      <c r="C15" s="2">
        <f>SUM(Clean_Data!X:X)</f>
        <v>121556.24753996114</v>
      </c>
    </row>
    <row r="16" spans="1:3">
      <c r="A16" t="s">
        <v>180</v>
      </c>
      <c r="B16" t="s">
        <v>172</v>
      </c>
      <c r="C16" s="2">
        <f>SUM(Clean_Data!Y:Y)</f>
        <v>456048.57119804755</v>
      </c>
    </row>
    <row r="17" spans="1:3">
      <c r="A17" t="s">
        <v>180</v>
      </c>
      <c r="B17" t="s">
        <v>173</v>
      </c>
      <c r="C17" s="2">
        <f>AVERAGE(Clean_Data!Y:Y)</f>
        <v>4560.4857119804756</v>
      </c>
    </row>
    <row r="18" spans="1:3">
      <c r="A18" t="s">
        <v>180</v>
      </c>
      <c r="B18" t="s">
        <v>225</v>
      </c>
      <c r="C18" s="1">
        <f>SUM(Clean_Data!Y:Y)/SUM(Clean_Data!F:F)</f>
        <v>0.78955118863872076</v>
      </c>
    </row>
    <row r="19" spans="1:3">
      <c r="C19" s="1"/>
    </row>
    <row r="20" spans="1:3">
      <c r="A20" t="s">
        <v>181</v>
      </c>
      <c r="B20" t="s">
        <v>175</v>
      </c>
      <c r="C20">
        <f>COUNTA(_xlfn.UNIQUE(Clean_Data!N:N))</f>
        <v>7</v>
      </c>
    </row>
    <row r="21" spans="1:3">
      <c r="A21" t="s">
        <v>181</v>
      </c>
      <c r="B21" t="s">
        <v>176</v>
      </c>
      <c r="C21">
        <f>AVERAGE(Clean_Data!I:I)</f>
        <v>15.96</v>
      </c>
    </row>
    <row r="22" spans="1:3">
      <c r="A22" t="s">
        <v>181</v>
      </c>
      <c r="B22" t="s">
        <v>177</v>
      </c>
      <c r="C22" s="2">
        <f>AVERAGE(Clean_Data!R:R)</f>
        <v>47.266693241469909</v>
      </c>
    </row>
    <row r="23" spans="1:3">
      <c r="C23" s="2"/>
    </row>
    <row r="24" spans="1:3">
      <c r="A24" t="s">
        <v>182</v>
      </c>
      <c r="B24" t="s">
        <v>184</v>
      </c>
      <c r="C24" s="1">
        <f>AVERAGE(SupplyChain4[Defect rates])%</f>
        <v>2.2771579927396108E-2</v>
      </c>
    </row>
    <row r="25" spans="1:3">
      <c r="A25" t="s">
        <v>182</v>
      </c>
      <c r="B25" t="s">
        <v>185</v>
      </c>
      <c r="C25">
        <f>COUNTIF(Clean_Data!S:S,"Fail")</f>
        <v>36</v>
      </c>
    </row>
    <row r="26" spans="1:3">
      <c r="A26" t="s">
        <v>182</v>
      </c>
      <c r="B26" t="s">
        <v>186</v>
      </c>
      <c r="C26" s="1">
        <f>COUNTIF(Clean_Data!S:S,"Pass")/COUNTA(Clean_Data!S:S)</f>
        <v>0.22772277227722773</v>
      </c>
    </row>
    <row r="27" spans="1:3">
      <c r="C27" s="1"/>
    </row>
    <row r="28" spans="1:3">
      <c r="A28" t="s">
        <v>183</v>
      </c>
      <c r="B28" t="s">
        <v>187</v>
      </c>
      <c r="C28">
        <f>AVERAGE(Clean_Data!K:K)</f>
        <v>5.75</v>
      </c>
    </row>
    <row r="29" spans="1:3">
      <c r="A29" t="s">
        <v>183</v>
      </c>
      <c r="B29" t="s">
        <v>169</v>
      </c>
      <c r="C29" s="2">
        <f>SUM(Clean_Data!M:M)</f>
        <v>63905</v>
      </c>
    </row>
    <row r="30" spans="1:3">
      <c r="A30" t="s">
        <v>183</v>
      </c>
      <c r="B30" t="s">
        <v>188</v>
      </c>
      <c r="C30" s="2">
        <f>AVERAGE(Clean_Data!M:M)</f>
        <v>639.04999999999995</v>
      </c>
    </row>
    <row r="31" spans="1:3">
      <c r="A31" t="s">
        <v>183</v>
      </c>
      <c r="B31" t="s">
        <v>189</v>
      </c>
      <c r="C31" s="2">
        <f>AVERAGE(SupplyChain4[ShIpping cost per unit])</f>
        <v>2.9375889100782966</v>
      </c>
    </row>
    <row r="32" spans="1:3">
      <c r="A32" t="s">
        <v>183</v>
      </c>
      <c r="B32" t="s">
        <v>210</v>
      </c>
      <c r="C32">
        <f>AVERAGE(Clean_Data!AC:AC)</f>
        <v>36.479999999999997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33F6-8B19-40C7-877C-7017CD3E6756}">
  <dimension ref="A1:J24"/>
  <sheetViews>
    <sheetView workbookViewId="0">
      <selection activeCell="H2" sqref="H2"/>
    </sheetView>
  </sheetViews>
  <sheetFormatPr defaultRowHeight="15"/>
  <cols>
    <col min="1" max="1" width="13.42578125" bestFit="1" customWidth="1"/>
    <col min="2" max="2" width="19" bestFit="1" customWidth="1"/>
    <col min="3" max="3" width="18.42578125" bestFit="1" customWidth="1"/>
    <col min="4" max="4" width="19.7109375" bestFit="1" customWidth="1"/>
    <col min="6" max="6" width="13.42578125" bestFit="1" customWidth="1"/>
    <col min="7" max="7" width="21.85546875" bestFit="1" customWidth="1"/>
    <col min="8" max="8" width="20" bestFit="1" customWidth="1"/>
    <col min="9" max="9" width="23.5703125" bestFit="1" customWidth="1"/>
    <col min="10" max="10" width="24.42578125" bestFit="1" customWidth="1"/>
  </cols>
  <sheetData>
    <row r="1" spans="1:10">
      <c r="A1" s="18" t="s">
        <v>194</v>
      </c>
      <c r="B1" s="18"/>
      <c r="F1" s="6" t="s">
        <v>195</v>
      </c>
      <c r="G1" s="6"/>
    </row>
    <row r="2" spans="1:10">
      <c r="A2" s="3" t="s">
        <v>0</v>
      </c>
      <c r="B2" t="s">
        <v>160</v>
      </c>
      <c r="C2" t="s">
        <v>161</v>
      </c>
      <c r="F2" s="3" t="s">
        <v>190</v>
      </c>
      <c r="G2" t="s">
        <v>216</v>
      </c>
      <c r="H2" t="s">
        <v>221</v>
      </c>
      <c r="I2" t="s">
        <v>192</v>
      </c>
      <c r="J2" t="s">
        <v>193</v>
      </c>
    </row>
    <row r="3" spans="1:10">
      <c r="A3" t="s">
        <v>31</v>
      </c>
      <c r="B3" s="2">
        <v>241628.16213306325</v>
      </c>
      <c r="C3" s="5">
        <v>20731</v>
      </c>
      <c r="F3" s="4" t="s">
        <v>37</v>
      </c>
      <c r="G3" s="12">
        <v>16.777777777777779</v>
      </c>
      <c r="H3" s="12">
        <v>1.8036297116882525</v>
      </c>
      <c r="I3" s="2">
        <v>45.254027195027824</v>
      </c>
      <c r="J3">
        <v>13545</v>
      </c>
    </row>
    <row r="4" spans="1:10">
      <c r="A4" t="s">
        <v>22</v>
      </c>
      <c r="B4" s="2">
        <v>174455.39060546231</v>
      </c>
      <c r="C4" s="5">
        <v>14238</v>
      </c>
      <c r="F4" s="4" t="s">
        <v>59</v>
      </c>
      <c r="G4" s="12">
        <v>16.227272727272727</v>
      </c>
      <c r="H4" s="12">
        <v>2.3627501450718813</v>
      </c>
      <c r="I4" s="2">
        <v>41.622514186334563</v>
      </c>
      <c r="J4">
        <v>14105</v>
      </c>
    </row>
    <row r="5" spans="1:10">
      <c r="A5" t="s">
        <v>55</v>
      </c>
      <c r="B5" s="2">
        <v>161521.26599948312</v>
      </c>
      <c r="C5" s="5">
        <v>11757</v>
      </c>
      <c r="F5" s="4" t="s">
        <v>26</v>
      </c>
      <c r="G5" s="12">
        <v>14.333333333333334</v>
      </c>
      <c r="H5" s="12">
        <v>2.4657860307644701</v>
      </c>
      <c r="I5" s="2">
        <v>43.634121313780966</v>
      </c>
      <c r="J5">
        <v>7997</v>
      </c>
    </row>
    <row r="6" spans="1:10">
      <c r="A6" t="s">
        <v>191</v>
      </c>
      <c r="B6" s="2">
        <v>577604.81873800862</v>
      </c>
      <c r="C6" s="5">
        <v>46726</v>
      </c>
      <c r="F6" s="4" t="s">
        <v>50</v>
      </c>
      <c r="G6" s="12">
        <v>17</v>
      </c>
      <c r="H6" s="12">
        <v>2.3373974005913398</v>
      </c>
      <c r="I6" s="2">
        <v>62.709726881875248</v>
      </c>
      <c r="J6">
        <v>11756</v>
      </c>
    </row>
    <row r="7" spans="1:10">
      <c r="F7" s="4" t="s">
        <v>42</v>
      </c>
      <c r="G7" s="12">
        <v>14.722222222222221</v>
      </c>
      <c r="H7" s="12">
        <v>2.6654083441492014</v>
      </c>
      <c r="I7" s="2">
        <v>44.768243011189519</v>
      </c>
      <c r="J7">
        <v>9381</v>
      </c>
    </row>
    <row r="8" spans="1:10">
      <c r="F8" s="4" t="s">
        <v>191</v>
      </c>
      <c r="G8" s="12">
        <v>15.96</v>
      </c>
      <c r="H8" s="12">
        <v>2.2771579927396099</v>
      </c>
      <c r="I8" s="2">
        <v>47.266693241469923</v>
      </c>
      <c r="J8">
        <v>56784</v>
      </c>
    </row>
    <row r="10" spans="1:10">
      <c r="A10" s="18" t="s">
        <v>196</v>
      </c>
      <c r="B10" s="18"/>
      <c r="F10" s="6" t="s">
        <v>200</v>
      </c>
    </row>
    <row r="11" spans="1:10">
      <c r="A11" s="3" t="s">
        <v>190</v>
      </c>
      <c r="B11" t="s">
        <v>197</v>
      </c>
      <c r="C11" t="s">
        <v>198</v>
      </c>
      <c r="D11" t="s">
        <v>199</v>
      </c>
      <c r="F11" s="3" t="s">
        <v>190</v>
      </c>
      <c r="G11" t="s">
        <v>198</v>
      </c>
      <c r="H11" t="s">
        <v>197</v>
      </c>
      <c r="I11" t="s">
        <v>160</v>
      </c>
    </row>
    <row r="12" spans="1:10">
      <c r="A12" s="4" t="s">
        <v>38</v>
      </c>
      <c r="B12" s="12">
        <v>5.115384615384615</v>
      </c>
      <c r="C12" s="2">
        <v>734.53846153846155</v>
      </c>
      <c r="D12" s="2">
        <v>19098</v>
      </c>
      <c r="F12" s="4" t="s">
        <v>46</v>
      </c>
      <c r="G12" s="2">
        <v>648.34883720930236</v>
      </c>
      <c r="H12" s="12">
        <v>6.0232558139534884</v>
      </c>
      <c r="I12" s="2">
        <v>253198.85238018754</v>
      </c>
    </row>
    <row r="13" spans="1:10">
      <c r="A13" s="4" t="s">
        <v>45</v>
      </c>
      <c r="B13" s="12">
        <v>6.5714285714285712</v>
      </c>
      <c r="C13" s="2">
        <v>590.96428571428567</v>
      </c>
      <c r="D13" s="2">
        <v>16547</v>
      </c>
      <c r="F13" s="4" t="s">
        <v>30</v>
      </c>
      <c r="G13" s="2">
        <v>632.40540540540542</v>
      </c>
      <c r="H13" s="12">
        <v>5.7027027027027026</v>
      </c>
      <c r="I13" s="2">
        <v>204484.00789291988</v>
      </c>
    </row>
    <row r="14" spans="1:10">
      <c r="A14" s="4" t="s">
        <v>29</v>
      </c>
      <c r="B14" s="12">
        <v>4.7241379310344831</v>
      </c>
      <c r="C14" s="2">
        <v>585.68965517241384</v>
      </c>
      <c r="D14" s="2">
        <v>16985</v>
      </c>
      <c r="F14" s="4" t="s">
        <v>39</v>
      </c>
      <c r="G14" s="2">
        <v>631.35</v>
      </c>
      <c r="H14">
        <v>5.25</v>
      </c>
      <c r="I14" s="2">
        <v>119921.95846490122</v>
      </c>
    </row>
    <row r="15" spans="1:10">
      <c r="A15" s="4" t="s">
        <v>54</v>
      </c>
      <c r="B15" s="12">
        <v>7.117647058823529</v>
      </c>
      <c r="C15" s="2">
        <v>663.23529411764707</v>
      </c>
      <c r="D15" s="2">
        <v>11275</v>
      </c>
      <c r="F15" s="4" t="s">
        <v>191</v>
      </c>
      <c r="G15" s="2">
        <v>639.04999999999995</v>
      </c>
      <c r="H15">
        <v>5.75</v>
      </c>
      <c r="I15" s="2">
        <v>577604.81873800862</v>
      </c>
    </row>
    <row r="16" spans="1:10">
      <c r="A16" s="4" t="s">
        <v>191</v>
      </c>
      <c r="B16" s="12">
        <v>5.75</v>
      </c>
      <c r="C16" s="2">
        <v>639.04999999999995</v>
      </c>
      <c r="D16" s="2">
        <v>63905</v>
      </c>
    </row>
    <row r="19" spans="1:2">
      <c r="A19" s="6" t="s">
        <v>201</v>
      </c>
    </row>
    <row r="20" spans="1:2">
      <c r="A20" s="3" t="s">
        <v>190</v>
      </c>
      <c r="B20" t="s">
        <v>217</v>
      </c>
    </row>
    <row r="21" spans="1:2">
      <c r="A21" s="4" t="s">
        <v>55</v>
      </c>
      <c r="B21" s="12">
        <v>1.9192869782813182</v>
      </c>
    </row>
    <row r="22" spans="1:2">
      <c r="A22" s="4" t="s">
        <v>22</v>
      </c>
      <c r="B22" s="12">
        <v>2.4831501929246254</v>
      </c>
    </row>
    <row r="23" spans="1:2">
      <c r="A23" s="4" t="s">
        <v>31</v>
      </c>
      <c r="B23" s="12">
        <v>2.3346807819802371</v>
      </c>
    </row>
    <row r="24" spans="1:2">
      <c r="A24" s="4" t="s">
        <v>191</v>
      </c>
      <c r="B24" s="12">
        <v>2.2771579927396104</v>
      </c>
    </row>
  </sheetData>
  <mergeCells count="2">
    <mergeCell ref="A1:B1"/>
    <mergeCell ref="A10:B10"/>
  </mergeCell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9F30-3A5F-4424-917E-F28BF18987F5}">
  <dimension ref="A1:K132"/>
  <sheetViews>
    <sheetView topLeftCell="D1" workbookViewId="0">
      <selection activeCell="B24" sqref="B24"/>
    </sheetView>
  </sheetViews>
  <sheetFormatPr defaultRowHeight="15"/>
  <cols>
    <col min="1" max="1" width="13.42578125" bestFit="1" customWidth="1"/>
    <col min="2" max="2" width="14" bestFit="1" customWidth="1"/>
    <col min="3" max="3" width="20.7109375" bestFit="1" customWidth="1"/>
  </cols>
  <sheetData>
    <row r="1" spans="1:3">
      <c r="A1" s="7" t="s">
        <v>0</v>
      </c>
      <c r="B1" s="7" t="s">
        <v>160</v>
      </c>
    </row>
    <row r="2" spans="1:3">
      <c r="A2" t="s">
        <v>31</v>
      </c>
      <c r="B2" s="2">
        <v>241628.16213306325</v>
      </c>
    </row>
    <row r="3" spans="1:3">
      <c r="A3" t="s">
        <v>22</v>
      </c>
      <c r="B3" s="2">
        <v>174455.39060546231</v>
      </c>
    </row>
    <row r="4" spans="1:3">
      <c r="A4" t="s">
        <v>55</v>
      </c>
      <c r="B4" s="2">
        <v>161521.26599948312</v>
      </c>
    </row>
    <row r="6" spans="1:3">
      <c r="A6" s="3" t="s">
        <v>190</v>
      </c>
      <c r="B6" s="2" t="s">
        <v>160</v>
      </c>
      <c r="C6" s="2" t="s">
        <v>202</v>
      </c>
    </row>
    <row r="7" spans="1:3">
      <c r="A7" s="4" t="s">
        <v>55</v>
      </c>
      <c r="B7" s="2">
        <v>161521.26599948312</v>
      </c>
      <c r="C7" s="2">
        <v>132560.49746341666</v>
      </c>
    </row>
    <row r="8" spans="1:3">
      <c r="A8" s="4" t="s">
        <v>22</v>
      </c>
      <c r="B8" s="2">
        <v>174455.39060546231</v>
      </c>
      <c r="C8" s="2">
        <v>136463.95596427348</v>
      </c>
    </row>
    <row r="9" spans="1:3">
      <c r="A9" s="4" t="s">
        <v>31</v>
      </c>
      <c r="B9" s="2">
        <v>241628.16213306325</v>
      </c>
      <c r="C9" s="2">
        <v>187024.11777035741</v>
      </c>
    </row>
    <row r="10" spans="1:3">
      <c r="A10" s="4" t="s">
        <v>191</v>
      </c>
      <c r="B10" s="2">
        <v>577604.81873800862</v>
      </c>
      <c r="C10" s="2">
        <v>456048.57119804755</v>
      </c>
    </row>
    <row r="12" spans="1:3">
      <c r="A12" s="7" t="s">
        <v>203</v>
      </c>
      <c r="B12" s="7" t="s">
        <v>184</v>
      </c>
    </row>
    <row r="13" spans="1:3">
      <c r="A13" s="4" t="s">
        <v>37</v>
      </c>
      <c r="B13" s="17">
        <v>1.8036297116882525</v>
      </c>
    </row>
    <row r="14" spans="1:3">
      <c r="A14" s="4" t="s">
        <v>50</v>
      </c>
      <c r="B14" s="17">
        <v>2.3373974005913398</v>
      </c>
    </row>
    <row r="15" spans="1:3">
      <c r="A15" s="4" t="s">
        <v>59</v>
      </c>
      <c r="B15" s="17">
        <v>2.3627501450718813</v>
      </c>
    </row>
    <row r="16" spans="1:3">
      <c r="A16" s="4" t="s">
        <v>26</v>
      </c>
      <c r="B16" s="17">
        <v>2.4657860307644701</v>
      </c>
    </row>
    <row r="17" spans="1:11">
      <c r="A17" s="4" t="s">
        <v>42</v>
      </c>
      <c r="B17" s="17">
        <v>2.6654083441492014</v>
      </c>
    </row>
    <row r="20" spans="1:11">
      <c r="A20" s="7" t="s">
        <v>190</v>
      </c>
      <c r="B20" s="7" t="s">
        <v>199</v>
      </c>
    </row>
    <row r="21" spans="1:11">
      <c r="A21" s="4" t="s">
        <v>38</v>
      </c>
      <c r="B21" s="2">
        <v>19098</v>
      </c>
    </row>
    <row r="22" spans="1:11">
      <c r="A22" s="4" t="s">
        <v>29</v>
      </c>
      <c r="B22" s="2">
        <v>16985</v>
      </c>
    </row>
    <row r="23" spans="1:11">
      <c r="A23" s="4" t="s">
        <v>45</v>
      </c>
      <c r="B23" s="2">
        <v>16547</v>
      </c>
    </row>
    <row r="24" spans="1:11">
      <c r="A24" s="4" t="s">
        <v>54</v>
      </c>
      <c r="B24" s="2">
        <v>11275</v>
      </c>
    </row>
    <row r="26" spans="1:11">
      <c r="A26" s="7" t="s">
        <v>190</v>
      </c>
      <c r="B26" s="7" t="s">
        <v>197</v>
      </c>
    </row>
    <row r="27" spans="1:11">
      <c r="A27" s="4" t="s">
        <v>54</v>
      </c>
      <c r="B27" s="12">
        <v>7.117647058823529</v>
      </c>
    </row>
    <row r="28" spans="1:11">
      <c r="A28" s="4" t="s">
        <v>45</v>
      </c>
      <c r="B28" s="12">
        <v>6.5714285714285712</v>
      </c>
    </row>
    <row r="29" spans="1:11">
      <c r="A29" s="4" t="s">
        <v>38</v>
      </c>
      <c r="B29" s="12">
        <v>5.115384615384615</v>
      </c>
      <c r="G29" s="4"/>
      <c r="J29" s="4"/>
      <c r="K29" s="11"/>
    </row>
    <row r="30" spans="1:11">
      <c r="A30" s="4" t="s">
        <v>29</v>
      </c>
      <c r="B30" s="12">
        <v>4.7241379310344831</v>
      </c>
    </row>
    <row r="32" spans="1:11">
      <c r="A32" s="8" t="s">
        <v>155</v>
      </c>
      <c r="B32" s="8" t="s">
        <v>18</v>
      </c>
    </row>
    <row r="33" spans="1:2">
      <c r="A33" s="9">
        <v>40</v>
      </c>
      <c r="B33" s="9">
        <v>0.22641036084992516</v>
      </c>
    </row>
    <row r="34" spans="1:2">
      <c r="A34" s="10">
        <v>62</v>
      </c>
      <c r="B34" s="10">
        <v>4.8540680263887062</v>
      </c>
    </row>
    <row r="35" spans="1:2">
      <c r="A35" s="9">
        <v>39</v>
      </c>
      <c r="B35" s="9">
        <v>4.580592619199229</v>
      </c>
    </row>
    <row r="36" spans="1:2">
      <c r="A36" s="10">
        <v>37</v>
      </c>
      <c r="B36" s="10">
        <v>4.7466486206477496</v>
      </c>
    </row>
    <row r="37" spans="1:2">
      <c r="A37" s="9">
        <v>14</v>
      </c>
      <c r="B37" s="9">
        <v>3.1455795228330019</v>
      </c>
    </row>
    <row r="38" spans="1:2">
      <c r="A38" s="10">
        <v>47</v>
      </c>
      <c r="B38" s="10">
        <v>2.7791935115711617</v>
      </c>
    </row>
    <row r="39" spans="1:2">
      <c r="A39" s="9">
        <v>47</v>
      </c>
      <c r="B39" s="9">
        <v>1.0009106193041357</v>
      </c>
    </row>
    <row r="40" spans="1:2">
      <c r="A40" s="10">
        <v>19</v>
      </c>
      <c r="B40" s="10">
        <v>0.39817718685065062</v>
      </c>
    </row>
    <row r="41" spans="1:2">
      <c r="A41" s="9">
        <v>25</v>
      </c>
      <c r="B41" s="9">
        <v>2.7098626911099615</v>
      </c>
    </row>
    <row r="42" spans="1:2">
      <c r="A42" s="10">
        <v>51</v>
      </c>
      <c r="B42" s="10">
        <v>3.8446144787675851</v>
      </c>
    </row>
    <row r="43" spans="1:2">
      <c r="A43" s="9">
        <v>20</v>
      </c>
      <c r="B43" s="9">
        <v>1.7273139283559424</v>
      </c>
    </row>
    <row r="44" spans="1:2">
      <c r="A44" s="10">
        <v>35</v>
      </c>
      <c r="B44" s="10">
        <v>2.1169821372994391E-2</v>
      </c>
    </row>
    <row r="45" spans="1:2">
      <c r="A45" s="9">
        <v>37</v>
      </c>
      <c r="B45" s="9">
        <v>2.1612537475559117</v>
      </c>
    </row>
    <row r="46" spans="1:2">
      <c r="A46" s="10">
        <v>27</v>
      </c>
      <c r="B46" s="10">
        <v>1.6310742300715386</v>
      </c>
    </row>
    <row r="47" spans="1:2">
      <c r="A47" s="9">
        <v>48</v>
      </c>
      <c r="B47" s="9">
        <v>0.10068285156509371</v>
      </c>
    </row>
    <row r="48" spans="1:2">
      <c r="A48" s="10">
        <v>22</v>
      </c>
      <c r="B48" s="10">
        <v>2.2644057611985491</v>
      </c>
    </row>
    <row r="49" spans="1:2">
      <c r="A49" s="9">
        <v>27</v>
      </c>
      <c r="B49" s="9">
        <v>1.0125630892580491</v>
      </c>
    </row>
    <row r="50" spans="1:2">
      <c r="A50" s="10">
        <v>42</v>
      </c>
      <c r="B50" s="10">
        <v>0.10202075491817619</v>
      </c>
    </row>
    <row r="51" spans="1:2">
      <c r="A51" s="9">
        <v>35</v>
      </c>
      <c r="B51" s="9">
        <v>2.2319391107292637</v>
      </c>
    </row>
    <row r="52" spans="1:2">
      <c r="A52" s="10">
        <v>30</v>
      </c>
      <c r="B52" s="10">
        <v>3.6464508654170293</v>
      </c>
    </row>
    <row r="53" spans="1:2">
      <c r="A53" s="9">
        <v>24</v>
      </c>
      <c r="B53" s="9">
        <v>4.2314165735345393</v>
      </c>
    </row>
    <row r="54" spans="1:2">
      <c r="A54" s="10">
        <v>35</v>
      </c>
      <c r="B54" s="10">
        <v>1.8607567631014899E-2</v>
      </c>
    </row>
    <row r="55" spans="1:2">
      <c r="A55" s="9">
        <v>39</v>
      </c>
      <c r="B55" s="9">
        <v>2.5912754732111161</v>
      </c>
    </row>
    <row r="56" spans="1:2">
      <c r="A56" s="10">
        <v>41</v>
      </c>
      <c r="B56" s="10">
        <v>1.3422915627227339</v>
      </c>
    </row>
    <row r="57" spans="1:2">
      <c r="A57" s="9">
        <v>37</v>
      </c>
      <c r="B57" s="9">
        <v>3.691310292628728</v>
      </c>
    </row>
    <row r="58" spans="1:2">
      <c r="A58" s="10">
        <v>37</v>
      </c>
      <c r="B58" s="10">
        <v>3.7972312171141831</v>
      </c>
    </row>
    <row r="59" spans="1:2">
      <c r="A59" s="9">
        <v>24</v>
      </c>
      <c r="B59" s="9">
        <v>2.1193197367249228</v>
      </c>
    </row>
    <row r="60" spans="1:2">
      <c r="A60" s="10">
        <v>21</v>
      </c>
      <c r="B60" s="10">
        <v>2.8646678378833732</v>
      </c>
    </row>
    <row r="61" spans="1:2">
      <c r="A61" s="9">
        <v>26</v>
      </c>
      <c r="B61" s="9">
        <v>0.81575707929567198</v>
      </c>
    </row>
    <row r="62" spans="1:2">
      <c r="A62" s="10">
        <v>19</v>
      </c>
      <c r="B62" s="10">
        <v>3.8780989365884881</v>
      </c>
    </row>
    <row r="63" spans="1:2">
      <c r="A63" s="9">
        <v>63</v>
      </c>
      <c r="B63" s="9">
        <v>0.96539470535239313</v>
      </c>
    </row>
    <row r="64" spans="1:2">
      <c r="A64" s="10">
        <v>29</v>
      </c>
      <c r="B64" s="10">
        <v>2.9890000066550746</v>
      </c>
    </row>
    <row r="65" spans="1:2">
      <c r="A65" s="9">
        <v>24</v>
      </c>
      <c r="B65" s="9">
        <v>1.9460361193861131</v>
      </c>
    </row>
    <row r="66" spans="1:2">
      <c r="A66" s="10">
        <v>49</v>
      </c>
      <c r="B66" s="10">
        <v>3.5410460122509231</v>
      </c>
    </row>
    <row r="67" spans="1:2">
      <c r="A67" s="9">
        <v>43</v>
      </c>
      <c r="B67" s="9">
        <v>0.64660455937205485</v>
      </c>
    </row>
    <row r="68" spans="1:2">
      <c r="A68" s="10">
        <v>37</v>
      </c>
      <c r="B68" s="10">
        <v>0.54115409806058112</v>
      </c>
    </row>
    <row r="69" spans="1:2">
      <c r="A69" s="9">
        <v>45</v>
      </c>
      <c r="B69" s="9">
        <v>3.8055333792433537</v>
      </c>
    </row>
    <row r="70" spans="1:2">
      <c r="A70" s="10">
        <v>32</v>
      </c>
      <c r="B70" s="10">
        <v>2.6102880848481131</v>
      </c>
    </row>
    <row r="71" spans="1:2">
      <c r="A71" s="9">
        <v>18</v>
      </c>
      <c r="B71" s="9">
        <v>0.61332689916450744</v>
      </c>
    </row>
    <row r="72" spans="1:2">
      <c r="A72" s="10">
        <v>38</v>
      </c>
      <c r="B72" s="10">
        <v>1.4519722039968159</v>
      </c>
    </row>
    <row r="73" spans="1:2">
      <c r="A73" s="9">
        <v>29</v>
      </c>
      <c r="B73" s="9">
        <v>4.2132694305865659</v>
      </c>
    </row>
    <row r="74" spans="1:2">
      <c r="A74" s="10">
        <v>34</v>
      </c>
      <c r="B74" s="10">
        <v>4.530226239825963E-2</v>
      </c>
    </row>
    <row r="75" spans="1:2">
      <c r="A75" s="9">
        <v>38</v>
      </c>
      <c r="B75" s="9">
        <v>4.9392552886209478</v>
      </c>
    </row>
    <row r="76" spans="1:2">
      <c r="A76" s="10">
        <v>61</v>
      </c>
      <c r="B76" s="10">
        <v>0.37230476798509771</v>
      </c>
    </row>
    <row r="77" spans="1:2">
      <c r="A77" s="9">
        <v>43</v>
      </c>
      <c r="B77" s="9">
        <v>2.9626263204548819</v>
      </c>
    </row>
    <row r="78" spans="1:2">
      <c r="A78" s="10">
        <v>38</v>
      </c>
      <c r="B78" s="10">
        <v>3.219604612084106</v>
      </c>
    </row>
    <row r="79" spans="1:2">
      <c r="A79" s="9">
        <v>60</v>
      </c>
      <c r="B79" s="9">
        <v>3.6486105925362033</v>
      </c>
    </row>
    <row r="80" spans="1:2">
      <c r="A80" s="10">
        <v>44</v>
      </c>
      <c r="B80" s="10">
        <v>0.38057358671321373</v>
      </c>
    </row>
    <row r="81" spans="1:2">
      <c r="A81" s="9">
        <v>37</v>
      </c>
      <c r="B81" s="9">
        <v>1.6981125407144038</v>
      </c>
    </row>
    <row r="82" spans="1:2">
      <c r="A82" s="10">
        <v>58</v>
      </c>
      <c r="B82" s="10">
        <v>2.8258139854001318</v>
      </c>
    </row>
    <row r="83" spans="1:2">
      <c r="A83" s="9">
        <v>54</v>
      </c>
      <c r="B83" s="9">
        <v>4.7548008046711852</v>
      </c>
    </row>
    <row r="84" spans="1:2">
      <c r="A84" s="10">
        <v>33</v>
      </c>
      <c r="B84" s="10">
        <v>1.7729511720835571</v>
      </c>
    </row>
    <row r="85" spans="1:2">
      <c r="A85" s="9">
        <v>39</v>
      </c>
      <c r="B85" s="9">
        <v>2.1224716191438247</v>
      </c>
    </row>
    <row r="86" spans="1:2">
      <c r="A86" s="10">
        <v>45</v>
      </c>
      <c r="B86" s="10">
        <v>1.4103475760760271</v>
      </c>
    </row>
    <row r="87" spans="1:2">
      <c r="A87" s="9">
        <v>54</v>
      </c>
      <c r="B87" s="9">
        <v>2.4787719755397477</v>
      </c>
    </row>
    <row r="88" spans="1:2">
      <c r="A88" s="10">
        <v>21</v>
      </c>
      <c r="B88" s="10">
        <v>4.5489196593963852</v>
      </c>
    </row>
    <row r="89" spans="1:2">
      <c r="A89" s="9">
        <v>56</v>
      </c>
      <c r="B89" s="9">
        <v>1.1737554953874541</v>
      </c>
    </row>
    <row r="90" spans="1:2">
      <c r="A90" s="10">
        <v>44</v>
      </c>
      <c r="B90" s="10">
        <v>2.511174830212707</v>
      </c>
    </row>
    <row r="91" spans="1:2">
      <c r="A91" s="9">
        <v>19</v>
      </c>
      <c r="B91" s="9">
        <v>1.7303747198591968</v>
      </c>
    </row>
    <row r="92" spans="1:2">
      <c r="A92" s="10">
        <v>27</v>
      </c>
      <c r="B92" s="10">
        <v>0.4471940154638232</v>
      </c>
    </row>
    <row r="93" spans="1:2">
      <c r="A93" s="9">
        <v>59</v>
      </c>
      <c r="B93" s="9">
        <v>2.8530906166490539</v>
      </c>
    </row>
    <row r="94" spans="1:2">
      <c r="A94" s="10">
        <v>42</v>
      </c>
      <c r="B94" s="10">
        <v>4.3674705382050529</v>
      </c>
    </row>
    <row r="95" spans="1:2">
      <c r="A95" s="9">
        <v>23</v>
      </c>
      <c r="B95" s="9">
        <v>1.8740014040443747</v>
      </c>
    </row>
    <row r="96" spans="1:2">
      <c r="A96" s="10">
        <v>33</v>
      </c>
      <c r="B96" s="10">
        <v>3.6328432903821337</v>
      </c>
    </row>
    <row r="97" spans="1:2">
      <c r="A97" s="9">
        <v>39</v>
      </c>
      <c r="B97" s="9">
        <v>0.15948631471751462</v>
      </c>
    </row>
    <row r="98" spans="1:2">
      <c r="A98" s="10">
        <v>53</v>
      </c>
      <c r="B98" s="10">
        <v>4.911095954842331</v>
      </c>
    </row>
    <row r="99" spans="1:2">
      <c r="A99" s="9">
        <v>53</v>
      </c>
      <c r="B99" s="9">
        <v>3.4480632883402618</v>
      </c>
    </row>
    <row r="100" spans="1:2">
      <c r="A100" s="10">
        <v>29</v>
      </c>
      <c r="B100" s="10">
        <v>0.13195544431181483</v>
      </c>
    </row>
    <row r="101" spans="1:2">
      <c r="A101" s="9">
        <v>34</v>
      </c>
      <c r="B101" s="9">
        <v>1.9834678721741801</v>
      </c>
    </row>
    <row r="102" spans="1:2">
      <c r="A102" s="10">
        <v>11</v>
      </c>
      <c r="B102" s="10">
        <v>1.3623879886491086</v>
      </c>
    </row>
    <row r="103" spans="1:2">
      <c r="A103" s="9">
        <v>32</v>
      </c>
      <c r="B103" s="9">
        <v>1.8305755986122314</v>
      </c>
    </row>
    <row r="104" spans="1:2">
      <c r="A104" s="10">
        <v>18</v>
      </c>
      <c r="B104" s="10">
        <v>2.0787506078749689</v>
      </c>
    </row>
    <row r="105" spans="1:2">
      <c r="A105" s="9">
        <v>49</v>
      </c>
      <c r="B105" s="9">
        <v>3.2133296074383089</v>
      </c>
    </row>
    <row r="106" spans="1:2">
      <c r="A106" s="10">
        <v>34</v>
      </c>
      <c r="B106" s="10">
        <v>4.6205460645137064</v>
      </c>
    </row>
    <row r="107" spans="1:2">
      <c r="A107" s="9">
        <v>20</v>
      </c>
      <c r="B107" s="9">
        <v>0.39661272410993542</v>
      </c>
    </row>
    <row r="108" spans="1:2">
      <c r="A108" s="10">
        <v>41</v>
      </c>
      <c r="B108" s="10">
        <v>2.0300690886687516</v>
      </c>
    </row>
    <row r="109" spans="1:2">
      <c r="A109" s="9">
        <v>35</v>
      </c>
      <c r="B109" s="9">
        <v>2.1800374515822165</v>
      </c>
    </row>
    <row r="110" spans="1:2">
      <c r="A110" s="10">
        <v>37</v>
      </c>
      <c r="B110" s="10">
        <v>3.0551418183075478</v>
      </c>
    </row>
    <row r="111" spans="1:2">
      <c r="A111" s="9">
        <v>30</v>
      </c>
      <c r="B111" s="9">
        <v>4.0968813324704518</v>
      </c>
    </row>
    <row r="112" spans="1:2">
      <c r="A112" s="10">
        <v>38</v>
      </c>
      <c r="B112" s="10">
        <v>0.16587162748060824</v>
      </c>
    </row>
    <row r="113" spans="1:2">
      <c r="A113" s="9">
        <v>21</v>
      </c>
      <c r="B113" s="9">
        <v>2.8496621985053308</v>
      </c>
    </row>
    <row r="114" spans="1:2">
      <c r="A114" s="10">
        <v>12</v>
      </c>
      <c r="B114" s="10">
        <v>2.5475471215487118</v>
      </c>
    </row>
    <row r="115" spans="1:2">
      <c r="A115" s="9">
        <v>46</v>
      </c>
      <c r="B115" s="9">
        <v>4.1378770486223573</v>
      </c>
    </row>
    <row r="116" spans="1:2">
      <c r="A116" s="10">
        <v>37</v>
      </c>
      <c r="B116" s="10">
        <v>0.77300613406724783</v>
      </c>
    </row>
    <row r="117" spans="1:2">
      <c r="A117" s="9">
        <v>58</v>
      </c>
      <c r="B117" s="9">
        <v>4.8434565771180411</v>
      </c>
    </row>
    <row r="118" spans="1:2">
      <c r="A118" s="10">
        <v>22</v>
      </c>
      <c r="B118" s="10">
        <v>1.3744289997457582</v>
      </c>
    </row>
    <row r="119" spans="1:2">
      <c r="A119" s="9">
        <v>38</v>
      </c>
      <c r="B119" s="9">
        <v>2.0515129307662465</v>
      </c>
    </row>
    <row r="120" spans="1:2">
      <c r="A120" s="10">
        <v>34</v>
      </c>
      <c r="B120" s="10">
        <v>3.6937377878392756</v>
      </c>
    </row>
    <row r="121" spans="1:2">
      <c r="A121" s="9">
        <v>36</v>
      </c>
      <c r="B121" s="9">
        <v>0.722204401882931</v>
      </c>
    </row>
    <row r="122" spans="1:2">
      <c r="A122" s="10">
        <v>20</v>
      </c>
      <c r="B122" s="10">
        <v>1.9076657339590746</v>
      </c>
    </row>
    <row r="123" spans="1:2">
      <c r="A123" s="9">
        <v>33</v>
      </c>
      <c r="B123" s="9">
        <v>1.2193822244013885</v>
      </c>
    </row>
    <row r="124" spans="1:2">
      <c r="A124" s="10">
        <v>57</v>
      </c>
      <c r="B124" s="10">
        <v>0.62600185820939458</v>
      </c>
    </row>
    <row r="125" spans="1:2">
      <c r="A125" s="9">
        <v>62</v>
      </c>
      <c r="B125" s="9">
        <v>0.33343182522473924</v>
      </c>
    </row>
    <row r="126" spans="1:2">
      <c r="A126" s="10">
        <v>38</v>
      </c>
      <c r="B126" s="10">
        <v>4.1657817954241452</v>
      </c>
    </row>
    <row r="127" spans="1:2">
      <c r="A127" s="9">
        <v>49</v>
      </c>
      <c r="B127" s="9">
        <v>1.4636074984727798</v>
      </c>
    </row>
    <row r="128" spans="1:2">
      <c r="A128" s="10">
        <v>49</v>
      </c>
      <c r="B128" s="10">
        <v>1.2108821295850665</v>
      </c>
    </row>
    <row r="129" spans="1:2">
      <c r="A129" s="9">
        <v>33</v>
      </c>
      <c r="B129" s="9">
        <v>3.8720476814821332</v>
      </c>
    </row>
    <row r="130" spans="1:2">
      <c r="A130" s="10">
        <v>41</v>
      </c>
      <c r="B130" s="10">
        <v>3.3762378347179811</v>
      </c>
    </row>
    <row r="131" spans="1:2">
      <c r="A131" s="9">
        <v>17</v>
      </c>
      <c r="B131" s="9">
        <v>2.9081221693512611</v>
      </c>
    </row>
    <row r="132" spans="1:2">
      <c r="A132" s="10">
        <v>16</v>
      </c>
      <c r="B132" s="10">
        <v>0.34602729070550342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BB3B-91AA-45CE-A256-C84A83B1A371}">
  <dimension ref="A1:K114"/>
  <sheetViews>
    <sheetView tabSelected="1" workbookViewId="0">
      <selection activeCell="E11" sqref="E11"/>
    </sheetView>
  </sheetViews>
  <sheetFormatPr defaultRowHeight="15"/>
  <cols>
    <col min="1" max="1" width="13.42578125" bestFit="1" customWidth="1"/>
    <col min="2" max="2" width="23.85546875" bestFit="1" customWidth="1"/>
    <col min="3" max="3" width="20.7109375" bestFit="1" customWidth="1"/>
    <col min="4" max="4" width="19.42578125" bestFit="1" customWidth="1"/>
    <col min="5" max="5" width="8.5703125" customWidth="1"/>
    <col min="6" max="6" width="9.140625" customWidth="1"/>
    <col min="7" max="7" width="23.7109375" customWidth="1"/>
    <col min="8" max="8" width="12.5703125" customWidth="1"/>
    <col min="9" max="9" width="8.28515625" customWidth="1"/>
    <col min="10" max="10" width="18.140625" customWidth="1"/>
    <col min="11" max="11" width="17.28515625" customWidth="1"/>
    <col min="14" max="14" width="23.85546875" customWidth="1"/>
    <col min="15" max="15" width="14.140625" customWidth="1"/>
    <col min="16" max="16" width="14.28515625" customWidth="1"/>
    <col min="17" max="17" width="13.42578125" bestFit="1" customWidth="1"/>
    <col min="18" max="18" width="22.42578125" bestFit="1" customWidth="1"/>
    <col min="19" max="19" width="29.7109375" bestFit="1" customWidth="1"/>
    <col min="20" max="20" width="23.28515625" bestFit="1" customWidth="1"/>
    <col min="21" max="21" width="17.85546875" bestFit="1" customWidth="1"/>
    <col min="22" max="22" width="26.28515625" bestFit="1" customWidth="1"/>
  </cols>
  <sheetData>
    <row r="1" spans="1:11">
      <c r="A1" s="3" t="s">
        <v>190</v>
      </c>
      <c r="B1" t="s">
        <v>222</v>
      </c>
      <c r="C1" t="s">
        <v>202</v>
      </c>
      <c r="D1" t="s">
        <v>226</v>
      </c>
      <c r="H1" t="s">
        <v>211</v>
      </c>
    </row>
    <row r="2" spans="1:11" ht="30">
      <c r="A2" s="4" t="s">
        <v>31</v>
      </c>
      <c r="B2" s="2">
        <v>241628.16213306325</v>
      </c>
      <c r="C2" s="2">
        <v>187024.11777035741</v>
      </c>
      <c r="D2" s="12">
        <v>2.3346807819802371</v>
      </c>
      <c r="E2" s="12"/>
      <c r="G2" s="14" t="s">
        <v>218</v>
      </c>
      <c r="H2" s="12">
        <f>CORREL(A15:A114,B15:B114)</f>
        <v>5.7394843965805943E-3</v>
      </c>
      <c r="I2" t="s">
        <v>212</v>
      </c>
    </row>
    <row r="3" spans="1:11" ht="30" customHeight="1">
      <c r="A3" s="4" t="s">
        <v>22</v>
      </c>
      <c r="B3" s="2">
        <v>174455.39060546231</v>
      </c>
      <c r="C3" s="2">
        <v>136463.95596427348</v>
      </c>
      <c r="D3" s="12">
        <v>2.4831501929246254</v>
      </c>
      <c r="E3" s="12"/>
      <c r="G3" s="14" t="s">
        <v>219</v>
      </c>
      <c r="H3" s="12">
        <f>CORREL(F15:F114,G15:G114)</f>
        <v>-6.2901410033897737E-2</v>
      </c>
      <c r="I3" t="s">
        <v>213</v>
      </c>
    </row>
    <row r="4" spans="1:11" ht="30">
      <c r="A4" s="4" t="s">
        <v>55</v>
      </c>
      <c r="B4" s="2">
        <v>161521.26599948312</v>
      </c>
      <c r="C4" s="2">
        <v>132560.49746341666</v>
      </c>
      <c r="D4" s="12">
        <v>1.9192869782813182</v>
      </c>
      <c r="E4" s="12"/>
      <c r="G4" s="14" t="s">
        <v>220</v>
      </c>
      <c r="H4" s="12">
        <f>CORREL(J15:J114,K15:K114)</f>
        <v>0.13951847925269673</v>
      </c>
      <c r="I4" t="s">
        <v>214</v>
      </c>
    </row>
    <row r="5" spans="1:11">
      <c r="A5" s="4" t="s">
        <v>191</v>
      </c>
      <c r="B5" s="2">
        <v>577604.8187380085</v>
      </c>
      <c r="C5" s="2">
        <v>456048.5711980476</v>
      </c>
      <c r="D5" s="12">
        <v>2.2771579927396108</v>
      </c>
      <c r="E5" s="12"/>
    </row>
    <row r="7" spans="1:11">
      <c r="A7" s="3" t="s">
        <v>190</v>
      </c>
      <c r="B7" t="s">
        <v>223</v>
      </c>
      <c r="C7" t="s">
        <v>224</v>
      </c>
      <c r="D7" s="16" t="s">
        <v>153</v>
      </c>
      <c r="E7" s="28"/>
    </row>
    <row r="8" spans="1:11">
      <c r="A8" s="4" t="s">
        <v>55</v>
      </c>
      <c r="B8">
        <v>11757</v>
      </c>
      <c r="C8">
        <v>1525</v>
      </c>
      <c r="D8" s="12">
        <f>GETPIVOTDATA("No. of products sold",$A$7,"Product type","cosmetics")/GETPIVOTDATA("Total Stock levels",$A$7,"Product type","cosmetics")</f>
        <v>7.7095081967213117</v>
      </c>
      <c r="E8" s="12"/>
      <c r="F8" s="12"/>
      <c r="G8" s="12"/>
      <c r="H8" s="12"/>
    </row>
    <row r="9" spans="1:11">
      <c r="A9" s="4" t="s">
        <v>22</v>
      </c>
      <c r="B9">
        <v>14238</v>
      </c>
      <c r="C9">
        <v>1667</v>
      </c>
      <c r="D9" s="12">
        <f>GETPIVOTDATA("No. of products sold",$A$7,"Product type","haircare")/GETPIVOTDATA("Total Stock levels",$A$7,"Product type","haircare")</f>
        <v>8.5410917816436704</v>
      </c>
      <c r="E9" s="12"/>
      <c r="F9" s="12"/>
      <c r="G9" s="12"/>
      <c r="H9" s="12"/>
    </row>
    <row r="10" spans="1:11">
      <c r="A10" s="4" t="s">
        <v>31</v>
      </c>
      <c r="B10">
        <v>20731</v>
      </c>
      <c r="C10">
        <v>1631</v>
      </c>
      <c r="D10" s="12">
        <f>GETPIVOTDATA("No. of products sold",$A$7,"Product type","skincare")/GETPIVOTDATA("Total Stock levels",$A$7,"Product type","skincare")</f>
        <v>12.710606989576947</v>
      </c>
      <c r="E10" s="12"/>
      <c r="F10" s="12"/>
      <c r="G10" s="12"/>
      <c r="H10" s="12"/>
    </row>
    <row r="11" spans="1:11">
      <c r="A11" s="4" t="s">
        <v>191</v>
      </c>
      <c r="B11">
        <v>46726</v>
      </c>
      <c r="C11">
        <v>4823</v>
      </c>
      <c r="D11" s="15">
        <f>GETPIVOTDATA("No. of products sold",$A$7)/GETPIVOTDATA("Total Stock levels",$A$7)</f>
        <v>9.6881608957080658</v>
      </c>
      <c r="E11" s="29"/>
      <c r="F11" s="12"/>
      <c r="G11" s="12"/>
      <c r="H11" s="12"/>
    </row>
    <row r="14" spans="1:11">
      <c r="A14" s="8" t="s">
        <v>2</v>
      </c>
      <c r="B14" s="8" t="s">
        <v>4</v>
      </c>
      <c r="F14" s="8" t="s">
        <v>9</v>
      </c>
      <c r="G14" s="8" t="s">
        <v>11</v>
      </c>
      <c r="J14" s="8" t="s">
        <v>15</v>
      </c>
      <c r="K14" s="8" t="s">
        <v>18</v>
      </c>
    </row>
    <row r="15" spans="1:11" ht="15" customHeight="1">
      <c r="A15" s="9">
        <v>69.808005542115765</v>
      </c>
      <c r="B15" s="9">
        <v>802</v>
      </c>
      <c r="F15" s="9">
        <v>4</v>
      </c>
      <c r="G15" s="9">
        <v>103</v>
      </c>
      <c r="J15" s="9">
        <v>29</v>
      </c>
      <c r="K15" s="9">
        <v>0.22641036084992516</v>
      </c>
    </row>
    <row r="16" spans="1:11">
      <c r="A16" s="10">
        <v>14.843523275084339</v>
      </c>
      <c r="B16" s="10">
        <v>736</v>
      </c>
      <c r="F16" s="10">
        <v>2</v>
      </c>
      <c r="G16" s="10">
        <v>938</v>
      </c>
      <c r="J16" s="10">
        <v>30</v>
      </c>
      <c r="K16" s="10">
        <v>4.8540680263887062</v>
      </c>
    </row>
    <row r="17" spans="1:11">
      <c r="A17" s="9">
        <v>11.319683293090566</v>
      </c>
      <c r="B17" s="9">
        <v>8</v>
      </c>
      <c r="F17" s="9">
        <v>2</v>
      </c>
      <c r="G17" s="9">
        <v>480</v>
      </c>
      <c r="J17" s="9">
        <v>27</v>
      </c>
      <c r="K17" s="9">
        <v>4.580592619199229</v>
      </c>
    </row>
    <row r="18" spans="1:11">
      <c r="A18" s="10">
        <v>61.163343016437736</v>
      </c>
      <c r="B18" s="10">
        <v>83</v>
      </c>
      <c r="F18" s="10">
        <v>6</v>
      </c>
      <c r="G18" s="10">
        <v>945</v>
      </c>
      <c r="J18" s="10">
        <v>18</v>
      </c>
      <c r="K18" s="10">
        <v>4.7466486206477496</v>
      </c>
    </row>
    <row r="19" spans="1:11">
      <c r="A19" s="9">
        <v>4.8054960363458932</v>
      </c>
      <c r="B19" s="9">
        <v>871</v>
      </c>
      <c r="F19" s="9">
        <v>8</v>
      </c>
      <c r="G19" s="9">
        <v>932</v>
      </c>
      <c r="J19" s="9">
        <v>3</v>
      </c>
      <c r="K19" s="9">
        <v>3.1455795228330019</v>
      </c>
    </row>
    <row r="20" spans="1:11">
      <c r="A20" s="10">
        <v>1.6999760138659377</v>
      </c>
      <c r="B20" s="10">
        <v>147</v>
      </c>
      <c r="F20" s="10">
        <v>3</v>
      </c>
      <c r="G20" s="10">
        <v>466</v>
      </c>
      <c r="J20" s="10">
        <v>17</v>
      </c>
      <c r="K20" s="10">
        <v>2.7791935115711617</v>
      </c>
    </row>
    <row r="21" spans="1:11">
      <c r="A21" s="9">
        <v>4.0783328631079447</v>
      </c>
      <c r="B21" s="9">
        <v>65</v>
      </c>
      <c r="F21" s="9">
        <v>8</v>
      </c>
      <c r="G21" s="9">
        <v>759</v>
      </c>
      <c r="J21" s="9">
        <v>24</v>
      </c>
      <c r="K21" s="9">
        <v>1.0009106193041357</v>
      </c>
    </row>
    <row r="22" spans="1:11">
      <c r="A22" s="10">
        <v>42.958384382460068</v>
      </c>
      <c r="B22" s="10">
        <v>426</v>
      </c>
      <c r="F22" s="10">
        <v>1</v>
      </c>
      <c r="G22" s="10">
        <v>388</v>
      </c>
      <c r="J22" s="10">
        <v>1</v>
      </c>
      <c r="K22" s="10">
        <v>0.39817718685065062</v>
      </c>
    </row>
    <row r="23" spans="1:11">
      <c r="A23" s="9">
        <v>68.717596748527328</v>
      </c>
      <c r="B23" s="9">
        <v>150</v>
      </c>
      <c r="F23" s="9">
        <v>7</v>
      </c>
      <c r="G23" s="9">
        <v>388</v>
      </c>
      <c r="J23" s="9">
        <v>8</v>
      </c>
      <c r="K23" s="9">
        <v>2.7098626911099615</v>
      </c>
    </row>
    <row r="24" spans="1:11">
      <c r="A24" s="10">
        <v>64.015732941278543</v>
      </c>
      <c r="B24" s="10">
        <v>980</v>
      </c>
      <c r="F24" s="10">
        <v>1</v>
      </c>
      <c r="G24" s="10">
        <v>1098</v>
      </c>
      <c r="J24" s="10">
        <v>23</v>
      </c>
      <c r="K24" s="10">
        <v>3.8446144787675851</v>
      </c>
    </row>
    <row r="25" spans="1:11">
      <c r="A25" s="9">
        <v>15.707795681912138</v>
      </c>
      <c r="B25" s="9">
        <v>996</v>
      </c>
      <c r="F25" s="9">
        <v>2</v>
      </c>
      <c r="G25" s="9">
        <v>1074</v>
      </c>
      <c r="J25" s="9">
        <v>5</v>
      </c>
      <c r="K25" s="9">
        <v>1.7273139283559424</v>
      </c>
    </row>
    <row r="26" spans="1:11">
      <c r="A26" s="10">
        <v>90.635459982288666</v>
      </c>
      <c r="B26" s="10">
        <v>960</v>
      </c>
      <c r="F26" s="10">
        <v>1</v>
      </c>
      <c r="G26" s="10">
        <v>972</v>
      </c>
      <c r="J26" s="10">
        <v>11</v>
      </c>
      <c r="K26" s="10">
        <v>2.1169821372994391E-2</v>
      </c>
    </row>
    <row r="27" spans="1:11">
      <c r="A27" s="9">
        <v>71.213389075360084</v>
      </c>
      <c r="B27" s="9">
        <v>336</v>
      </c>
      <c r="F27" s="9">
        <v>4</v>
      </c>
      <c r="G27" s="9">
        <v>231</v>
      </c>
      <c r="J27" s="9">
        <v>3</v>
      </c>
      <c r="K27" s="9">
        <v>2.1612537475559117</v>
      </c>
    </row>
    <row r="28" spans="1:11">
      <c r="A28" s="10">
        <v>16.160393317379977</v>
      </c>
      <c r="B28" s="10">
        <v>249</v>
      </c>
      <c r="F28" s="10">
        <v>9</v>
      </c>
      <c r="G28" s="10">
        <v>904</v>
      </c>
      <c r="J28" s="10">
        <v>10</v>
      </c>
      <c r="K28" s="10">
        <v>1.6310742300715386</v>
      </c>
    </row>
    <row r="29" spans="1:11">
      <c r="A29" s="9">
        <v>99.171328638624189</v>
      </c>
      <c r="B29" s="9">
        <v>562</v>
      </c>
      <c r="F29" s="9">
        <v>5</v>
      </c>
      <c r="G29" s="9">
        <v>118</v>
      </c>
      <c r="J29" s="9">
        <v>14</v>
      </c>
      <c r="K29" s="9">
        <v>0.10068285156509371</v>
      </c>
    </row>
    <row r="30" spans="1:11">
      <c r="A30" s="10">
        <v>36.98924492862691</v>
      </c>
      <c r="B30" s="10">
        <v>469</v>
      </c>
      <c r="F30" s="10">
        <v>7</v>
      </c>
      <c r="G30" s="10">
        <v>998</v>
      </c>
      <c r="J30" s="10">
        <v>7</v>
      </c>
      <c r="K30" s="10">
        <v>2.2644057611985491</v>
      </c>
    </row>
    <row r="31" spans="1:11">
      <c r="A31" s="9">
        <v>7.5471721097912718</v>
      </c>
      <c r="B31" s="9">
        <v>280</v>
      </c>
      <c r="F31" s="9">
        <v>1</v>
      </c>
      <c r="G31" s="9">
        <v>1193</v>
      </c>
      <c r="J31" s="9">
        <v>21</v>
      </c>
      <c r="K31" s="9">
        <v>1.0125630892580491</v>
      </c>
    </row>
    <row r="32" spans="1:11">
      <c r="A32" s="10">
        <v>81.462534369237019</v>
      </c>
      <c r="B32" s="10">
        <v>126</v>
      </c>
      <c r="F32" s="10">
        <v>9</v>
      </c>
      <c r="G32" s="10">
        <v>461</v>
      </c>
      <c r="J32" s="10">
        <v>16</v>
      </c>
      <c r="K32" s="10">
        <v>0.10202075491817619</v>
      </c>
    </row>
    <row r="33" spans="1:11">
      <c r="A33" s="9">
        <v>36.443627770460935</v>
      </c>
      <c r="B33" s="9">
        <v>620</v>
      </c>
      <c r="F33" s="9">
        <v>8</v>
      </c>
      <c r="G33" s="9">
        <v>310</v>
      </c>
      <c r="J33" s="9">
        <v>17</v>
      </c>
      <c r="K33" s="9">
        <v>2.2319391107292637</v>
      </c>
    </row>
    <row r="34" spans="1:11">
      <c r="A34" s="10">
        <v>51.12387008796474</v>
      </c>
      <c r="B34" s="10">
        <v>187</v>
      </c>
      <c r="F34" s="10">
        <v>3</v>
      </c>
      <c r="G34" s="10">
        <v>869</v>
      </c>
      <c r="J34" s="10">
        <v>16</v>
      </c>
      <c r="K34" s="10">
        <v>3.6464508654170293</v>
      </c>
    </row>
    <row r="35" spans="1:11">
      <c r="A35" s="9">
        <v>96.341072439963384</v>
      </c>
      <c r="B35" s="9">
        <v>320</v>
      </c>
      <c r="F35" s="9">
        <v>6</v>
      </c>
      <c r="G35" s="9">
        <v>802</v>
      </c>
      <c r="J35" s="9">
        <v>6</v>
      </c>
      <c r="K35" s="9">
        <v>4.2314165735345393</v>
      </c>
    </row>
    <row r="36" spans="1:11">
      <c r="A36" s="10">
        <v>84.893868984950828</v>
      </c>
      <c r="B36" s="10">
        <v>601</v>
      </c>
      <c r="F36" s="10">
        <v>6</v>
      </c>
      <c r="G36" s="10">
        <v>257</v>
      </c>
      <c r="J36" s="10">
        <v>4</v>
      </c>
      <c r="K36" s="10">
        <v>1.8607567631014899E-2</v>
      </c>
    </row>
    <row r="37" spans="1:11">
      <c r="A37" s="9">
        <v>27.679780886501959</v>
      </c>
      <c r="B37" s="9">
        <v>884</v>
      </c>
      <c r="F37" s="9">
        <v>10</v>
      </c>
      <c r="G37" s="9">
        <v>190</v>
      </c>
      <c r="J37" s="9">
        <v>28</v>
      </c>
      <c r="K37" s="9">
        <v>2.5912754732111161</v>
      </c>
    </row>
    <row r="38" spans="1:11">
      <c r="A38" s="10">
        <v>4.3243411858641636</v>
      </c>
      <c r="B38" s="10">
        <v>391</v>
      </c>
      <c r="F38" s="10">
        <v>7</v>
      </c>
      <c r="G38" s="10">
        <v>959</v>
      </c>
      <c r="J38" s="10">
        <v>29</v>
      </c>
      <c r="K38" s="10">
        <v>1.3422915627227339</v>
      </c>
    </row>
    <row r="39" spans="1:11">
      <c r="A39" s="9">
        <v>4.1563083593111081</v>
      </c>
      <c r="B39" s="9">
        <v>209</v>
      </c>
      <c r="F39" s="9">
        <v>8</v>
      </c>
      <c r="G39" s="9">
        <v>407</v>
      </c>
      <c r="J39" s="9">
        <v>3</v>
      </c>
      <c r="K39" s="9">
        <v>3.691310292628728</v>
      </c>
    </row>
    <row r="40" spans="1:11">
      <c r="A40" s="10">
        <v>39.629343985092625</v>
      </c>
      <c r="B40" s="10">
        <v>142</v>
      </c>
      <c r="F40" s="10">
        <v>3</v>
      </c>
      <c r="G40" s="10">
        <v>852</v>
      </c>
      <c r="J40" s="10">
        <v>23</v>
      </c>
      <c r="K40" s="10">
        <v>3.7972312171141831</v>
      </c>
    </row>
    <row r="41" spans="1:11">
      <c r="A41" s="9">
        <v>97.44694661789282</v>
      </c>
      <c r="B41" s="9">
        <v>353</v>
      </c>
      <c r="F41" s="9">
        <v>4</v>
      </c>
      <c r="G41" s="9">
        <v>321</v>
      </c>
      <c r="J41" s="9">
        <v>4</v>
      </c>
      <c r="K41" s="9">
        <v>2.1193197367249228</v>
      </c>
    </row>
    <row r="42" spans="1:11">
      <c r="A42" s="10">
        <v>92.557360812402024</v>
      </c>
      <c r="B42" s="10">
        <v>352</v>
      </c>
      <c r="F42" s="10">
        <v>8</v>
      </c>
      <c r="G42" s="10">
        <v>141</v>
      </c>
      <c r="J42" s="10">
        <v>4</v>
      </c>
      <c r="K42" s="10">
        <v>2.8646678378833732</v>
      </c>
    </row>
    <row r="43" spans="1:11">
      <c r="A43" s="9">
        <v>2.3972747055971411</v>
      </c>
      <c r="B43" s="9">
        <v>394</v>
      </c>
      <c r="F43" s="9">
        <v>4</v>
      </c>
      <c r="G43" s="9">
        <v>598</v>
      </c>
      <c r="J43" s="9">
        <v>7</v>
      </c>
      <c r="K43" s="9">
        <v>0.81575707929567198</v>
      </c>
    </row>
    <row r="44" spans="1:11">
      <c r="A44" s="10">
        <v>63.447559185207332</v>
      </c>
      <c r="B44" s="10">
        <v>253</v>
      </c>
      <c r="F44" s="10">
        <v>7</v>
      </c>
      <c r="G44" s="10">
        <v>587</v>
      </c>
      <c r="J44" s="10">
        <v>7</v>
      </c>
      <c r="K44" s="10">
        <v>3.8780989365884881</v>
      </c>
    </row>
    <row r="45" spans="1:11">
      <c r="A45" s="9">
        <v>8.0228592105263932</v>
      </c>
      <c r="B45" s="9">
        <v>327</v>
      </c>
      <c r="F45" s="9">
        <v>7</v>
      </c>
      <c r="G45" s="9">
        <v>929</v>
      </c>
      <c r="J45" s="9">
        <v>30</v>
      </c>
      <c r="K45" s="9">
        <v>0.96539470535239313</v>
      </c>
    </row>
    <row r="46" spans="1:11">
      <c r="A46" s="10">
        <v>50.847393051718697</v>
      </c>
      <c r="B46" s="10">
        <v>168</v>
      </c>
      <c r="F46" s="10">
        <v>4</v>
      </c>
      <c r="G46" s="10">
        <v>665</v>
      </c>
      <c r="J46" s="10">
        <v>8</v>
      </c>
      <c r="K46" s="10">
        <v>2.9890000066550746</v>
      </c>
    </row>
    <row r="47" spans="1:11">
      <c r="A47" s="9">
        <v>79.209936015656723</v>
      </c>
      <c r="B47" s="9">
        <v>781</v>
      </c>
      <c r="F47" s="9">
        <v>4</v>
      </c>
      <c r="G47" s="9">
        <v>660</v>
      </c>
      <c r="J47" s="9">
        <v>7</v>
      </c>
      <c r="K47" s="9">
        <v>1.9460361193861131</v>
      </c>
    </row>
    <row r="48" spans="1:11">
      <c r="A48" s="10">
        <v>64.795435000155607</v>
      </c>
      <c r="B48" s="10">
        <v>616</v>
      </c>
      <c r="F48" s="10">
        <v>9</v>
      </c>
      <c r="G48" s="10">
        <v>1097</v>
      </c>
      <c r="J48" s="10">
        <v>23</v>
      </c>
      <c r="K48" s="10">
        <v>3.5410460122509231</v>
      </c>
    </row>
    <row r="49" spans="1:11">
      <c r="A49" s="9">
        <v>37.467592329842461</v>
      </c>
      <c r="B49" s="9">
        <v>602</v>
      </c>
      <c r="F49" s="9">
        <v>7</v>
      </c>
      <c r="G49" s="9">
        <v>436</v>
      </c>
      <c r="J49" s="9">
        <v>10</v>
      </c>
      <c r="K49" s="9">
        <v>0.64660455937205485</v>
      </c>
    </row>
    <row r="50" spans="1:11">
      <c r="A50" s="10">
        <v>84.957786816350435</v>
      </c>
      <c r="B50" s="10">
        <v>449</v>
      </c>
      <c r="F50" s="10">
        <v>8</v>
      </c>
      <c r="G50" s="10">
        <v>191</v>
      </c>
      <c r="J50" s="10">
        <v>2</v>
      </c>
      <c r="K50" s="10">
        <v>0.54115409806058112</v>
      </c>
    </row>
    <row r="51" spans="1:11">
      <c r="A51" s="9">
        <v>9.8130025787540518</v>
      </c>
      <c r="B51" s="9">
        <v>963</v>
      </c>
      <c r="F51" s="9">
        <v>3</v>
      </c>
      <c r="G51" s="9">
        <v>738</v>
      </c>
      <c r="J51" s="9">
        <v>19</v>
      </c>
      <c r="K51" s="9">
        <v>3.8055333792433537</v>
      </c>
    </row>
    <row r="52" spans="1:11">
      <c r="A52" s="10">
        <v>23.399844752614349</v>
      </c>
      <c r="B52" s="10">
        <v>963</v>
      </c>
      <c r="F52" s="10">
        <v>9</v>
      </c>
      <c r="G52" s="10">
        <v>858</v>
      </c>
      <c r="J52" s="10">
        <v>15</v>
      </c>
      <c r="K52" s="10">
        <v>2.6102880848481131</v>
      </c>
    </row>
    <row r="53" spans="1:11">
      <c r="A53" s="9">
        <v>52.075930682707799</v>
      </c>
      <c r="B53" s="9">
        <v>705</v>
      </c>
      <c r="F53" s="9">
        <v>5</v>
      </c>
      <c r="G53" s="9">
        <v>1120</v>
      </c>
      <c r="J53" s="9">
        <v>12</v>
      </c>
      <c r="K53" s="9">
        <v>0.61332689916450744</v>
      </c>
    </row>
    <row r="54" spans="1:11">
      <c r="A54" s="10">
        <v>19.127477265823256</v>
      </c>
      <c r="B54" s="10">
        <v>176</v>
      </c>
      <c r="F54" s="10">
        <v>3</v>
      </c>
      <c r="G54" s="10">
        <v>166</v>
      </c>
      <c r="J54" s="10">
        <v>6</v>
      </c>
      <c r="K54" s="10">
        <v>1.4519722039968159</v>
      </c>
    </row>
    <row r="55" spans="1:11">
      <c r="A55" s="9">
        <v>80.541424170940331</v>
      </c>
      <c r="B55" s="9">
        <v>933</v>
      </c>
      <c r="F55" s="9">
        <v>8</v>
      </c>
      <c r="G55" s="9">
        <v>115</v>
      </c>
      <c r="J55" s="9">
        <v>1</v>
      </c>
      <c r="K55" s="9">
        <v>4.2132694305865659</v>
      </c>
    </row>
    <row r="56" spans="1:11">
      <c r="A56" s="10">
        <v>99.113291615317166</v>
      </c>
      <c r="B56" s="10">
        <v>556</v>
      </c>
      <c r="F56" s="10">
        <v>8</v>
      </c>
      <c r="G56" s="10">
        <v>234</v>
      </c>
      <c r="J56" s="10">
        <v>7</v>
      </c>
      <c r="K56" s="10">
        <v>4.530226239825963E-2</v>
      </c>
    </row>
    <row r="57" spans="1:11">
      <c r="A57" s="9">
        <v>46.529167614516773</v>
      </c>
      <c r="B57" s="9">
        <v>155</v>
      </c>
      <c r="F57" s="9">
        <v>4</v>
      </c>
      <c r="G57" s="9">
        <v>786</v>
      </c>
      <c r="J57" s="9">
        <v>7</v>
      </c>
      <c r="K57" s="9">
        <v>4.9392552886209478</v>
      </c>
    </row>
    <row r="58" spans="1:11">
      <c r="A58" s="10">
        <v>11.743271776309239</v>
      </c>
      <c r="B58" s="10">
        <v>598</v>
      </c>
      <c r="F58" s="10">
        <v>9</v>
      </c>
      <c r="G58" s="10">
        <v>685</v>
      </c>
      <c r="J58" s="10">
        <v>23</v>
      </c>
      <c r="K58" s="10">
        <v>0.37230476798509771</v>
      </c>
    </row>
    <row r="59" spans="1:11">
      <c r="A59" s="9">
        <v>51.35579091311039</v>
      </c>
      <c r="B59" s="9">
        <v>919</v>
      </c>
      <c r="F59" s="9">
        <v>6</v>
      </c>
      <c r="G59" s="9">
        <v>537</v>
      </c>
      <c r="J59" s="9">
        <v>18</v>
      </c>
      <c r="K59" s="9">
        <v>2.9626263204548819</v>
      </c>
    </row>
    <row r="60" spans="1:11">
      <c r="A60" s="10">
        <v>33.78413803306551</v>
      </c>
      <c r="B60" s="10">
        <v>24</v>
      </c>
      <c r="F60" s="10">
        <v>6</v>
      </c>
      <c r="G60" s="10">
        <v>326</v>
      </c>
      <c r="J60" s="10">
        <v>25</v>
      </c>
      <c r="K60" s="10">
        <v>3.219604612084106</v>
      </c>
    </row>
    <row r="61" spans="1:11">
      <c r="A61" s="9">
        <v>27.082207199888899</v>
      </c>
      <c r="B61" s="9">
        <v>859</v>
      </c>
      <c r="F61" s="9">
        <v>8</v>
      </c>
      <c r="G61" s="9">
        <v>1068</v>
      </c>
      <c r="J61" s="9">
        <v>23</v>
      </c>
      <c r="K61" s="9">
        <v>3.6486105925362033</v>
      </c>
    </row>
    <row r="62" spans="1:11">
      <c r="A62" s="10">
        <v>95.712135880936088</v>
      </c>
      <c r="B62" s="10">
        <v>910</v>
      </c>
      <c r="F62" s="10">
        <v>9</v>
      </c>
      <c r="G62" s="10">
        <v>712</v>
      </c>
      <c r="J62" s="10">
        <v>20</v>
      </c>
      <c r="K62" s="10">
        <v>0.38057358671321373</v>
      </c>
    </row>
    <row r="63" spans="1:11">
      <c r="A63" s="9">
        <v>76.035544426891718</v>
      </c>
      <c r="B63" s="9">
        <v>29</v>
      </c>
      <c r="F63" s="9">
        <v>3</v>
      </c>
      <c r="G63" s="9">
        <v>464</v>
      </c>
      <c r="J63" s="9">
        <v>18</v>
      </c>
      <c r="K63" s="9">
        <v>1.6981125407144038</v>
      </c>
    </row>
    <row r="64" spans="1:11">
      <c r="A64" s="10">
        <v>78.897913205640037</v>
      </c>
      <c r="B64" s="10">
        <v>99</v>
      </c>
      <c r="F64" s="10">
        <v>6</v>
      </c>
      <c r="G64" s="10">
        <v>384</v>
      </c>
      <c r="J64" s="10">
        <v>28</v>
      </c>
      <c r="K64" s="10">
        <v>2.8258139854001318</v>
      </c>
    </row>
    <row r="65" spans="1:11">
      <c r="A65" s="9">
        <v>14.203484264803022</v>
      </c>
      <c r="B65" s="9">
        <v>633</v>
      </c>
      <c r="F65" s="9">
        <v>10</v>
      </c>
      <c r="G65" s="9">
        <v>615</v>
      </c>
      <c r="J65" s="9">
        <v>21</v>
      </c>
      <c r="K65" s="9">
        <v>4.7548008046711852</v>
      </c>
    </row>
    <row r="66" spans="1:11">
      <c r="A66" s="10">
        <v>26.70076097246173</v>
      </c>
      <c r="B66" s="10">
        <v>154</v>
      </c>
      <c r="F66" s="10">
        <v>1</v>
      </c>
      <c r="G66" s="10">
        <v>484</v>
      </c>
      <c r="J66" s="10">
        <v>28</v>
      </c>
      <c r="K66" s="10">
        <v>1.7729511720835571</v>
      </c>
    </row>
    <row r="67" spans="1:11">
      <c r="A67" s="9">
        <v>98.031829656465078</v>
      </c>
      <c r="B67" s="9">
        <v>820</v>
      </c>
      <c r="F67" s="9">
        <v>1</v>
      </c>
      <c r="G67" s="9">
        <v>583</v>
      </c>
      <c r="J67" s="9">
        <v>27</v>
      </c>
      <c r="K67" s="9">
        <v>2.1224716191438247</v>
      </c>
    </row>
    <row r="68" spans="1:11">
      <c r="A68" s="10">
        <v>30.341470711214214</v>
      </c>
      <c r="B68" s="10">
        <v>242</v>
      </c>
      <c r="F68" s="10">
        <v>3</v>
      </c>
      <c r="G68" s="10">
        <v>923</v>
      </c>
      <c r="J68" s="10">
        <v>17</v>
      </c>
      <c r="K68" s="10">
        <v>1.4103475760760271</v>
      </c>
    </row>
    <row r="69" spans="1:11">
      <c r="A69" s="9">
        <v>31.146243160240854</v>
      </c>
      <c r="B69" s="9">
        <v>622</v>
      </c>
      <c r="F69" s="9">
        <v>3</v>
      </c>
      <c r="G69" s="9">
        <v>239</v>
      </c>
      <c r="J69" s="9">
        <v>29</v>
      </c>
      <c r="K69" s="9">
        <v>2.4787719755397477</v>
      </c>
    </row>
    <row r="70" spans="1:11">
      <c r="A70" s="10">
        <v>79.855058340789427</v>
      </c>
      <c r="B70" s="10">
        <v>701</v>
      </c>
      <c r="F70" s="10">
        <v>5</v>
      </c>
      <c r="G70" s="10">
        <v>1170</v>
      </c>
      <c r="J70" s="10">
        <v>5</v>
      </c>
      <c r="K70" s="10">
        <v>4.5489196593963852</v>
      </c>
    </row>
    <row r="71" spans="1:11">
      <c r="A71" s="9">
        <v>20.986386037043378</v>
      </c>
      <c r="B71" s="9">
        <v>93</v>
      </c>
      <c r="F71" s="9">
        <v>5</v>
      </c>
      <c r="G71" s="9">
        <v>1083</v>
      </c>
      <c r="J71" s="9">
        <v>28</v>
      </c>
      <c r="K71" s="9">
        <v>1.1737554953874541</v>
      </c>
    </row>
    <row r="72" spans="1:11">
      <c r="A72" s="10">
        <v>49.263205350734154</v>
      </c>
      <c r="B72" s="10">
        <v>227</v>
      </c>
      <c r="F72" s="10">
        <v>1</v>
      </c>
      <c r="G72" s="10">
        <v>690</v>
      </c>
      <c r="J72" s="10">
        <v>25</v>
      </c>
      <c r="K72" s="10">
        <v>2.511174830212707</v>
      </c>
    </row>
    <row r="73" spans="1:11">
      <c r="A73" s="9">
        <v>59.84156137728931</v>
      </c>
      <c r="B73" s="9">
        <v>896</v>
      </c>
      <c r="F73" s="9">
        <v>7</v>
      </c>
      <c r="G73" s="9">
        <v>834</v>
      </c>
      <c r="J73" s="9">
        <v>7</v>
      </c>
      <c r="K73" s="9">
        <v>1.7303747198591968</v>
      </c>
    </row>
    <row r="74" spans="1:11">
      <c r="A74" s="10">
        <v>63.828398347710966</v>
      </c>
      <c r="B74" s="10">
        <v>484</v>
      </c>
      <c r="F74" s="10">
        <v>7</v>
      </c>
      <c r="G74" s="10">
        <v>878</v>
      </c>
      <c r="J74" s="10">
        <v>4</v>
      </c>
      <c r="K74" s="10">
        <v>0.4471940154638232</v>
      </c>
    </row>
    <row r="75" spans="1:11">
      <c r="A75" s="9">
        <v>17.028027920188702</v>
      </c>
      <c r="B75" s="9">
        <v>380</v>
      </c>
      <c r="F75" s="9">
        <v>8</v>
      </c>
      <c r="G75" s="9">
        <v>1043</v>
      </c>
      <c r="J75" s="9">
        <v>24</v>
      </c>
      <c r="K75" s="9">
        <v>2.8530906166490539</v>
      </c>
    </row>
    <row r="76" spans="1:11">
      <c r="A76" s="10">
        <v>52.028749903294923</v>
      </c>
      <c r="B76" s="10">
        <v>117</v>
      </c>
      <c r="F76" s="10">
        <v>7</v>
      </c>
      <c r="G76" s="10">
        <v>558</v>
      </c>
      <c r="J76" s="10">
        <v>12</v>
      </c>
      <c r="K76" s="10">
        <v>4.3674705382050529</v>
      </c>
    </row>
    <row r="77" spans="1:11">
      <c r="A77" s="9">
        <v>72.796353955587364</v>
      </c>
      <c r="B77" s="9">
        <v>270</v>
      </c>
      <c r="F77" s="9">
        <v>7</v>
      </c>
      <c r="G77" s="9">
        <v>648</v>
      </c>
      <c r="J77" s="9">
        <v>14</v>
      </c>
      <c r="K77" s="9">
        <v>1.8740014040443747</v>
      </c>
    </row>
    <row r="78" spans="1:11">
      <c r="A78" s="10">
        <v>13.017376785287857</v>
      </c>
      <c r="B78" s="10">
        <v>246</v>
      </c>
      <c r="F78" s="10">
        <v>4</v>
      </c>
      <c r="G78" s="10">
        <v>762</v>
      </c>
      <c r="J78" s="10">
        <v>10</v>
      </c>
      <c r="K78" s="10">
        <v>3.6328432903821337</v>
      </c>
    </row>
    <row r="79" spans="1:11">
      <c r="A79" s="9">
        <v>89.634095608135326</v>
      </c>
      <c r="B79" s="9">
        <v>134</v>
      </c>
      <c r="F79" s="9">
        <v>6</v>
      </c>
      <c r="G79" s="9">
        <v>1047</v>
      </c>
      <c r="J79" s="9">
        <v>6</v>
      </c>
      <c r="K79" s="9">
        <v>0.15948631471751462</v>
      </c>
    </row>
    <row r="80" spans="1:11">
      <c r="A80" s="10">
        <v>33.697717206643127</v>
      </c>
      <c r="B80" s="10">
        <v>457</v>
      </c>
      <c r="F80" s="10">
        <v>8</v>
      </c>
      <c r="G80" s="10">
        <v>699</v>
      </c>
      <c r="J80" s="10">
        <v>21</v>
      </c>
      <c r="K80" s="10">
        <v>4.911095954842331</v>
      </c>
    </row>
    <row r="81" spans="1:11">
      <c r="A81" s="9">
        <v>26.034869773962086</v>
      </c>
      <c r="B81" s="9">
        <v>704</v>
      </c>
      <c r="F81" s="9">
        <v>8</v>
      </c>
      <c r="G81" s="9">
        <v>346</v>
      </c>
      <c r="J81" s="9">
        <v>28</v>
      </c>
      <c r="K81" s="9">
        <v>3.4480632883402618</v>
      </c>
    </row>
    <row r="82" spans="1:11">
      <c r="A82" s="10">
        <v>87.755432354001073</v>
      </c>
      <c r="B82" s="10">
        <v>513</v>
      </c>
      <c r="F82" s="10">
        <v>9</v>
      </c>
      <c r="G82" s="10">
        <v>467</v>
      </c>
      <c r="J82" s="10">
        <v>11</v>
      </c>
      <c r="K82" s="10">
        <v>0.13195544431181483</v>
      </c>
    </row>
    <row r="83" spans="1:11">
      <c r="A83" s="9">
        <v>37.931812382790319</v>
      </c>
      <c r="B83" s="9">
        <v>163</v>
      </c>
      <c r="F83" s="9">
        <v>8</v>
      </c>
      <c r="G83" s="9">
        <v>990</v>
      </c>
      <c r="J83" s="9">
        <v>18</v>
      </c>
      <c r="K83" s="9">
        <v>1.9834678721741801</v>
      </c>
    </row>
    <row r="84" spans="1:11">
      <c r="A84" s="10">
        <v>54.865528517069791</v>
      </c>
      <c r="B84" s="10">
        <v>511</v>
      </c>
      <c r="F84" s="10">
        <v>3</v>
      </c>
      <c r="G84" s="10">
        <v>944</v>
      </c>
      <c r="J84" s="10">
        <v>7</v>
      </c>
      <c r="K84" s="10">
        <v>1.3623879886491086</v>
      </c>
    </row>
    <row r="85" spans="1:11">
      <c r="A85" s="9">
        <v>47.914541824058766</v>
      </c>
      <c r="B85" s="9">
        <v>32</v>
      </c>
      <c r="F85" s="9">
        <v>4</v>
      </c>
      <c r="G85" s="9">
        <v>600</v>
      </c>
      <c r="J85" s="9">
        <v>16</v>
      </c>
      <c r="K85" s="9">
        <v>1.8305755986122314</v>
      </c>
    </row>
    <row r="86" spans="1:11">
      <c r="A86" s="10">
        <v>6.3815331627479663</v>
      </c>
      <c r="B86" s="10">
        <v>637</v>
      </c>
      <c r="F86" s="10">
        <v>6</v>
      </c>
      <c r="G86" s="10">
        <v>898</v>
      </c>
      <c r="J86" s="10">
        <v>10</v>
      </c>
      <c r="K86" s="10">
        <v>2.0787506078749689</v>
      </c>
    </row>
    <row r="87" spans="1:11">
      <c r="A87" s="9">
        <v>90.204427520528071</v>
      </c>
      <c r="B87" s="9">
        <v>478</v>
      </c>
      <c r="F87" s="9">
        <v>9</v>
      </c>
      <c r="G87" s="9">
        <v>122</v>
      </c>
      <c r="J87" s="9">
        <v>11</v>
      </c>
      <c r="K87" s="9">
        <v>3.2133296074383089</v>
      </c>
    </row>
    <row r="88" spans="1:11">
      <c r="A88" s="10">
        <v>83.851017681304597</v>
      </c>
      <c r="B88" s="10">
        <v>375</v>
      </c>
      <c r="F88" s="10">
        <v>5</v>
      </c>
      <c r="G88" s="10">
        <v>222</v>
      </c>
      <c r="J88" s="10">
        <v>4</v>
      </c>
      <c r="K88" s="10">
        <v>4.6205460645137064</v>
      </c>
    </row>
    <row r="89" spans="1:11">
      <c r="A89" s="9">
        <v>3.1700114135661548</v>
      </c>
      <c r="B89" s="9">
        <v>904</v>
      </c>
      <c r="F89" s="9">
        <v>5</v>
      </c>
      <c r="G89" s="9">
        <v>738</v>
      </c>
      <c r="J89" s="9">
        <v>9</v>
      </c>
      <c r="K89" s="9">
        <v>0.39661272410993542</v>
      </c>
    </row>
    <row r="90" spans="1:11">
      <c r="A90" s="10">
        <v>92.996884233970661</v>
      </c>
      <c r="B90" s="10">
        <v>106</v>
      </c>
      <c r="F90" s="10">
        <v>10</v>
      </c>
      <c r="G90" s="10">
        <v>876</v>
      </c>
      <c r="J90" s="10">
        <v>11</v>
      </c>
      <c r="K90" s="10">
        <v>2.0300690886687516</v>
      </c>
    </row>
    <row r="91" spans="1:11">
      <c r="A91" s="9">
        <v>69.108799547430323</v>
      </c>
      <c r="B91" s="9">
        <v>241</v>
      </c>
      <c r="F91" s="9">
        <v>10</v>
      </c>
      <c r="G91" s="9">
        <v>155</v>
      </c>
      <c r="J91" s="9">
        <v>24</v>
      </c>
      <c r="K91" s="9">
        <v>2.1800374515822165</v>
      </c>
    </row>
    <row r="92" spans="1:11">
      <c r="A92" s="10">
        <v>57.449742958971477</v>
      </c>
      <c r="B92" s="10">
        <v>359</v>
      </c>
      <c r="F92" s="10">
        <v>4</v>
      </c>
      <c r="G92" s="10">
        <v>526</v>
      </c>
      <c r="J92" s="10">
        <v>5</v>
      </c>
      <c r="K92" s="10">
        <v>3.0551418183075478</v>
      </c>
    </row>
    <row r="93" spans="1:11">
      <c r="A93" s="9">
        <v>6.3068831761119153</v>
      </c>
      <c r="B93" s="9">
        <v>946</v>
      </c>
      <c r="F93" s="9">
        <v>5</v>
      </c>
      <c r="G93" s="9">
        <v>511</v>
      </c>
      <c r="J93" s="9">
        <v>21</v>
      </c>
      <c r="K93" s="9">
        <v>4.0968813324704518</v>
      </c>
    </row>
    <row r="94" spans="1:11">
      <c r="A94" s="10">
        <v>57.057031221103223</v>
      </c>
      <c r="B94" s="10">
        <v>198</v>
      </c>
      <c r="F94" s="10">
        <v>1</v>
      </c>
      <c r="G94" s="10">
        <v>1160</v>
      </c>
      <c r="J94" s="10">
        <v>12</v>
      </c>
      <c r="K94" s="10">
        <v>0.16587162748060824</v>
      </c>
    </row>
    <row r="95" spans="1:11">
      <c r="A95" s="9">
        <v>91.128318350444331</v>
      </c>
      <c r="B95" s="9">
        <v>872</v>
      </c>
      <c r="F95" s="9">
        <v>2</v>
      </c>
      <c r="G95" s="9">
        <v>862</v>
      </c>
      <c r="J95" s="9">
        <v>5</v>
      </c>
      <c r="K95" s="9">
        <v>2.8496621985053308</v>
      </c>
    </row>
    <row r="96" spans="1:11">
      <c r="A96" s="10">
        <v>72.819206930318217</v>
      </c>
      <c r="B96" s="10">
        <v>774</v>
      </c>
      <c r="F96" s="10">
        <v>5</v>
      </c>
      <c r="G96" s="10">
        <v>147</v>
      </c>
      <c r="J96" s="10">
        <v>1</v>
      </c>
      <c r="K96" s="10">
        <v>2.5475471215487118</v>
      </c>
    </row>
    <row r="97" spans="1:11">
      <c r="A97" s="9">
        <v>17.034930739467917</v>
      </c>
      <c r="B97" s="9">
        <v>336</v>
      </c>
      <c r="F97" s="9">
        <v>1</v>
      </c>
      <c r="G97" s="9">
        <v>868</v>
      </c>
      <c r="J97" s="9">
        <v>26</v>
      </c>
      <c r="K97" s="9">
        <v>4.1378770486223573</v>
      </c>
    </row>
    <row r="98" spans="1:11">
      <c r="A98" s="10">
        <v>68.911246211606326</v>
      </c>
      <c r="B98" s="10">
        <v>663</v>
      </c>
      <c r="F98" s="10">
        <v>8</v>
      </c>
      <c r="G98" s="10">
        <v>332</v>
      </c>
      <c r="J98" s="10">
        <v>5</v>
      </c>
      <c r="K98" s="10">
        <v>0.77300613406724783</v>
      </c>
    </row>
    <row r="99" spans="1:11">
      <c r="A99" s="9">
        <v>89.104367292102253</v>
      </c>
      <c r="B99" s="9">
        <v>618</v>
      </c>
      <c r="F99" s="9">
        <v>10</v>
      </c>
      <c r="G99" s="9">
        <v>1191</v>
      </c>
      <c r="J99" s="9">
        <v>22</v>
      </c>
      <c r="K99" s="9">
        <v>4.8434565771180411</v>
      </c>
    </row>
    <row r="100" spans="1:11">
      <c r="A100" s="10">
        <v>76.962994415193876</v>
      </c>
      <c r="B100" s="10">
        <v>25</v>
      </c>
      <c r="F100" s="10">
        <v>2</v>
      </c>
      <c r="G100" s="10">
        <v>352</v>
      </c>
      <c r="J100" s="10">
        <v>2</v>
      </c>
      <c r="K100" s="10">
        <v>1.3744289997457582</v>
      </c>
    </row>
    <row r="101" spans="1:11">
      <c r="A101" s="9">
        <v>19.998176940404221</v>
      </c>
      <c r="B101" s="9">
        <v>223</v>
      </c>
      <c r="F101" s="9">
        <v>6</v>
      </c>
      <c r="G101" s="9">
        <v>821</v>
      </c>
      <c r="J101" s="9">
        <v>18</v>
      </c>
      <c r="K101" s="9">
        <v>2.0515129307662465</v>
      </c>
    </row>
    <row r="102" spans="1:11">
      <c r="A102" s="10">
        <v>80.41403665035574</v>
      </c>
      <c r="B102" s="10">
        <v>79</v>
      </c>
      <c r="F102" s="10">
        <v>10</v>
      </c>
      <c r="G102" s="10">
        <v>1030</v>
      </c>
      <c r="J102" s="10">
        <v>17</v>
      </c>
      <c r="K102" s="10">
        <v>3.6937377878392756</v>
      </c>
    </row>
    <row r="103" spans="1:11">
      <c r="A103" s="9">
        <v>75.27040697572501</v>
      </c>
      <c r="B103" s="9">
        <v>737</v>
      </c>
      <c r="F103" s="9">
        <v>7</v>
      </c>
      <c r="G103" s="9">
        <v>849</v>
      </c>
      <c r="J103" s="9">
        <v>11</v>
      </c>
      <c r="K103" s="9">
        <v>0.722204401882931</v>
      </c>
    </row>
    <row r="104" spans="1:11">
      <c r="A104" s="10">
        <v>97.760085581938668</v>
      </c>
      <c r="B104" s="10">
        <v>134</v>
      </c>
      <c r="F104" s="10">
        <v>8</v>
      </c>
      <c r="G104" s="10">
        <v>1126</v>
      </c>
      <c r="J104" s="10">
        <v>11</v>
      </c>
      <c r="K104" s="10">
        <v>1.9076657339590746</v>
      </c>
    </row>
    <row r="105" spans="1:11">
      <c r="A105" s="9">
        <v>13.881913501359142</v>
      </c>
      <c r="B105" s="9">
        <v>320</v>
      </c>
      <c r="F105" s="9">
        <v>7</v>
      </c>
      <c r="G105" s="9">
        <v>176</v>
      </c>
      <c r="J105" s="9">
        <v>8</v>
      </c>
      <c r="K105" s="9">
        <v>1.2193822244013885</v>
      </c>
    </row>
    <row r="106" spans="1:11">
      <c r="A106" s="10">
        <v>62.111965463961788</v>
      </c>
      <c r="B106" s="10">
        <v>916</v>
      </c>
      <c r="F106" s="10">
        <v>7</v>
      </c>
      <c r="G106" s="10">
        <v>553</v>
      </c>
      <c r="J106" s="10">
        <v>28</v>
      </c>
      <c r="K106" s="10">
        <v>0.62600185820939458</v>
      </c>
    </row>
    <row r="107" spans="1:11">
      <c r="A107" s="9">
        <v>47.714233075820232</v>
      </c>
      <c r="B107" s="9">
        <v>276</v>
      </c>
      <c r="F107" s="9">
        <v>8</v>
      </c>
      <c r="G107" s="9">
        <v>535</v>
      </c>
      <c r="J107" s="9">
        <v>29</v>
      </c>
      <c r="K107" s="9">
        <v>0.33343182522473924</v>
      </c>
    </row>
    <row r="108" spans="1:11">
      <c r="A108" s="10">
        <v>69.290831002905492</v>
      </c>
      <c r="B108" s="10">
        <v>114</v>
      </c>
      <c r="F108" s="10">
        <v>1</v>
      </c>
      <c r="G108" s="10">
        <v>144</v>
      </c>
      <c r="J108" s="10">
        <v>20</v>
      </c>
      <c r="K108" s="10">
        <v>4.1657817954241452</v>
      </c>
    </row>
    <row r="109" spans="1:11">
      <c r="A109" s="9">
        <v>3.0376887246314141</v>
      </c>
      <c r="B109" s="9">
        <v>987</v>
      </c>
      <c r="F109" s="9">
        <v>9</v>
      </c>
      <c r="G109" s="9">
        <v>199</v>
      </c>
      <c r="J109" s="9">
        <v>14</v>
      </c>
      <c r="K109" s="9">
        <v>1.4636074984727798</v>
      </c>
    </row>
    <row r="110" spans="1:11">
      <c r="A110" s="10">
        <v>77.903927219447752</v>
      </c>
      <c r="B110" s="10">
        <v>672</v>
      </c>
      <c r="F110" s="10">
        <v>9</v>
      </c>
      <c r="G110" s="10">
        <v>782</v>
      </c>
      <c r="J110" s="10">
        <v>26</v>
      </c>
      <c r="K110" s="10">
        <v>1.2108821295850665</v>
      </c>
    </row>
    <row r="111" spans="1:11">
      <c r="A111" s="9">
        <v>24.42313142037338</v>
      </c>
      <c r="B111" s="9">
        <v>324</v>
      </c>
      <c r="F111" s="9">
        <v>3</v>
      </c>
      <c r="G111" s="9">
        <v>370</v>
      </c>
      <c r="J111" s="9">
        <v>28</v>
      </c>
      <c r="K111" s="9">
        <v>3.8720476814821332</v>
      </c>
    </row>
    <row r="112" spans="1:11">
      <c r="A112" s="10">
        <v>3.5261112591434158</v>
      </c>
      <c r="B112" s="10">
        <v>62</v>
      </c>
      <c r="F112" s="10">
        <v>9</v>
      </c>
      <c r="G112" s="10">
        <v>508</v>
      </c>
      <c r="J112" s="10">
        <v>13</v>
      </c>
      <c r="K112" s="10">
        <v>3.3762378347179811</v>
      </c>
    </row>
    <row r="113" spans="1:11">
      <c r="A113" s="9">
        <v>19.754604866878601</v>
      </c>
      <c r="B113" s="9">
        <v>913</v>
      </c>
      <c r="F113" s="9">
        <v>7</v>
      </c>
      <c r="G113" s="9">
        <v>1109</v>
      </c>
      <c r="J113" s="9">
        <v>9</v>
      </c>
      <c r="K113" s="9">
        <v>2.9081221693512611</v>
      </c>
    </row>
    <row r="114" spans="1:11">
      <c r="A114" s="10">
        <v>68.517832699276639</v>
      </c>
      <c r="B114" s="10">
        <v>627</v>
      </c>
      <c r="F114" s="10">
        <v>6</v>
      </c>
      <c r="G114" s="10">
        <v>228</v>
      </c>
      <c r="J114" s="10">
        <v>2</v>
      </c>
      <c r="K114" s="10">
        <v>0.34602729070550342</v>
      </c>
    </row>
  </sheetData>
  <pageMargins left="0.7" right="0.7" top="0.75" bottom="0.75" header="0.3" footer="0.3"/>
  <pageSetup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DB21-9319-4D1D-9C93-93231A62CD13}">
  <dimension ref="A1:L7"/>
  <sheetViews>
    <sheetView showGridLines="0" zoomScale="80" zoomScaleNormal="80" workbookViewId="0">
      <selection activeCell="J6" sqref="J6:K6"/>
    </sheetView>
  </sheetViews>
  <sheetFormatPr defaultRowHeight="15"/>
  <cols>
    <col min="1" max="1" width="13.28515625" customWidth="1"/>
    <col min="2" max="2" width="8" customWidth="1"/>
    <col min="3" max="3" width="9.140625" customWidth="1"/>
    <col min="5" max="5" width="11.28515625" customWidth="1"/>
    <col min="8" max="8" width="12.42578125" customWidth="1"/>
    <col min="10" max="10" width="12.140625" bestFit="1" customWidth="1"/>
    <col min="12" max="12" width="9.140625" customWidth="1"/>
  </cols>
  <sheetData>
    <row r="1" spans="1:12">
      <c r="A1" s="23" t="s">
        <v>204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5.75">
      <c r="A4" s="20" t="s">
        <v>205</v>
      </c>
      <c r="B4" s="20"/>
      <c r="D4" s="20" t="s">
        <v>206</v>
      </c>
      <c r="E4" s="20"/>
      <c r="G4" s="20" t="s">
        <v>207</v>
      </c>
      <c r="H4" s="20"/>
      <c r="J4" s="20" t="s">
        <v>208</v>
      </c>
      <c r="K4" s="20"/>
    </row>
    <row r="5" spans="1:12">
      <c r="A5" s="19"/>
      <c r="B5" s="19"/>
      <c r="D5" s="19"/>
      <c r="E5" s="19"/>
      <c r="G5" s="19"/>
      <c r="H5" s="19"/>
      <c r="J5" s="19"/>
      <c r="K5" s="19"/>
    </row>
    <row r="6" spans="1:12" ht="24">
      <c r="A6" s="26">
        <f>KPIs!C2</f>
        <v>577604.81873800862</v>
      </c>
      <c r="B6" s="26"/>
      <c r="D6" s="21">
        <f>KPIs!C3</f>
        <v>46726</v>
      </c>
      <c r="E6" s="21"/>
      <c r="G6" s="22">
        <f>KPIs!C16</f>
        <v>456048.57119804755</v>
      </c>
      <c r="H6" s="22"/>
      <c r="J6" s="27">
        <f>KPIs!C18</f>
        <v>0.78955118863872076</v>
      </c>
      <c r="K6" s="27"/>
    </row>
    <row r="7" spans="1:12" ht="3" customHeight="1">
      <c r="A7" s="19"/>
      <c r="B7" s="19"/>
      <c r="D7" s="19"/>
      <c r="E7" s="19"/>
      <c r="G7" s="19"/>
      <c r="H7" s="19"/>
      <c r="J7" s="19"/>
      <c r="K7" s="19"/>
    </row>
  </sheetData>
  <mergeCells count="18">
    <mergeCell ref="A1:L2"/>
    <mergeCell ref="A3:L3"/>
    <mergeCell ref="A4:B4"/>
    <mergeCell ref="A5:B5"/>
    <mergeCell ref="A6:B6"/>
    <mergeCell ref="J4:K4"/>
    <mergeCell ref="J5:K5"/>
    <mergeCell ref="J6:K6"/>
    <mergeCell ref="J7:K7"/>
    <mergeCell ref="A7:B7"/>
    <mergeCell ref="D4:E4"/>
    <mergeCell ref="D5:E5"/>
    <mergeCell ref="D6:E6"/>
    <mergeCell ref="D7:E7"/>
    <mergeCell ref="G4:H4"/>
    <mergeCell ref="G5:H5"/>
    <mergeCell ref="G6:H6"/>
    <mergeCell ref="G7:H7"/>
  </mergeCells>
  <pageMargins left="0.25" right="0.25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703FEE-C626-4A08-8D26-2EB3A3DE44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Clean_Data</vt:lpstr>
      <vt:lpstr>KPIs</vt:lpstr>
      <vt:lpstr>Pivot_Analysis</vt:lpstr>
      <vt:lpstr>Chart</vt:lpstr>
      <vt:lpstr>Deeper_analysis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Fidelia Nwawulu</dc:creator>
  <cp:lastModifiedBy>Fidelia Nwawulu</cp:lastModifiedBy>
  <dcterms:created xsi:type="dcterms:W3CDTF">2026-09-14T02:57:29Z</dcterms:created>
  <dcterms:modified xsi:type="dcterms:W3CDTF">2026-10-15T08:24:03Z</dcterms:modified>
</cp:coreProperties>
</file>